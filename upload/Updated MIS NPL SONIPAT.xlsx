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wich\Downloads\"/>
    </mc:Choice>
  </mc:AlternateContent>
  <xr:revisionPtr revIDLastSave="0" documentId="13_ncr:1_{98A2B376-3B9F-4C8B-93AB-F6609645BA9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" sheetId="6" state="hidden" r:id="rId1"/>
    <sheet name="MIS" sheetId="1" r:id="rId2"/>
  </sheets>
  <definedNames>
    <definedName name="_xlnm._FilterDatabase" localSheetId="1" hidden="1">MIS!$A$2:$AD$342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2" i="1" l="1"/>
  <c r="K1" i="1" s="1"/>
  <c r="L315" i="1"/>
  <c r="L57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L262" i="1"/>
  <c r="L260" i="1"/>
  <c r="L258" i="1"/>
  <c r="L256" i="1"/>
  <c r="L254" i="1"/>
  <c r="L235" i="1"/>
  <c r="L226" i="1"/>
  <c r="L222" i="1"/>
  <c r="L220" i="1"/>
  <c r="L214" i="1"/>
  <c r="L212" i="1"/>
  <c r="L270" i="1"/>
  <c r="L271" i="1"/>
  <c r="L163" i="1"/>
  <c r="L1" i="1" l="1"/>
</calcChain>
</file>

<file path=xl/sharedStrings.xml><?xml version="1.0" encoding="utf-8"?>
<sst xmlns="http://schemas.openxmlformats.org/spreadsheetml/2006/main" count="5768" uniqueCount="653">
  <si>
    <t>SR. NO.</t>
  </si>
  <si>
    <t>PICKUP LOCATION</t>
  </si>
  <si>
    <t>PARTY NAME</t>
  </si>
  <si>
    <t>DESTINATION</t>
  </si>
  <si>
    <t>INVOICE NUMBER</t>
  </si>
  <si>
    <t>LR. NO.</t>
  </si>
  <si>
    <t>LR DATE</t>
  </si>
  <si>
    <t>MATERIAL DETAILS</t>
  </si>
  <si>
    <t>TRANSPOTER NAME</t>
  </si>
  <si>
    <t>TOTAL QUANTITY IN LTRS</t>
  </si>
  <si>
    <t>LOAD TYPE FTL/PTL</t>
  </si>
  <si>
    <t>EXPECTED DELIVERY DATE</t>
  </si>
  <si>
    <t>ACTUAL DELIVERY DATE</t>
  </si>
  <si>
    <t>DELIVERY STATUS</t>
  </si>
  <si>
    <t>LR STATUS</t>
  </si>
  <si>
    <t>DAMAGE</t>
  </si>
  <si>
    <t>LOADING CHARGES</t>
  </si>
  <si>
    <t>UNLOADING CHARGES</t>
  </si>
  <si>
    <t>VEHICLE NUMBER</t>
  </si>
  <si>
    <t>VEHICLE TYPE</t>
  </si>
  <si>
    <t>PLY</t>
  </si>
  <si>
    <t>Sonipat</t>
  </si>
  <si>
    <t>Gnaganagar Automobile Pvt LTD</t>
  </si>
  <si>
    <t>SONGOG26/22235</t>
  </si>
  <si>
    <t>TATA Genius DEF (6*2) - PVBU</t>
  </si>
  <si>
    <t>Pending</t>
  </si>
  <si>
    <t>No</t>
  </si>
  <si>
    <t>HR69C8468</t>
  </si>
  <si>
    <t>Drona Logitech</t>
  </si>
  <si>
    <t>To be Billed</t>
  </si>
  <si>
    <t>SONGOG26/22236</t>
  </si>
  <si>
    <t>TATA Genius DEF (4*5) - PVBU</t>
  </si>
  <si>
    <t>PTL</t>
  </si>
  <si>
    <t>SONGOG26/22237</t>
  </si>
  <si>
    <t>TATA Genius DEF (1*10) - PVBU</t>
  </si>
  <si>
    <t>Sisothya ventures Pvt LTD</t>
  </si>
  <si>
    <t>IMT Manesar Sec 2A</t>
  </si>
  <si>
    <t>SONGOG26/22238</t>
  </si>
  <si>
    <t>Bucket</t>
  </si>
  <si>
    <t>SONGOG26/22239</t>
  </si>
  <si>
    <t>SONGOG26/22240</t>
  </si>
  <si>
    <t>Oberai Motors</t>
  </si>
  <si>
    <t>SONGOG26/22241</t>
  </si>
  <si>
    <t>Saharanpur Road Dehradun</t>
  </si>
  <si>
    <t>S L Oberai Minerals Pvt LTD</t>
  </si>
  <si>
    <t>Dehradun</t>
  </si>
  <si>
    <t>SONGOG26/22242</t>
  </si>
  <si>
    <t>Multitech Motors LLP</t>
  </si>
  <si>
    <t>Faridabad</t>
  </si>
  <si>
    <t>SONGOG26/22243</t>
  </si>
  <si>
    <t>Bhiwadi</t>
  </si>
  <si>
    <t>SONGOG26/22245</t>
  </si>
  <si>
    <t>A K Automobiles</t>
  </si>
  <si>
    <t>Sahib Automotive Pvt LTD</t>
  </si>
  <si>
    <t>Kaithal</t>
  </si>
  <si>
    <t>SONGOG26/22250</t>
  </si>
  <si>
    <t>TATA Genius DEF W/O SPOUT (4*5) - PVBU</t>
  </si>
  <si>
    <t>Car Clan - 3087430</t>
  </si>
  <si>
    <t>Sec 37 Phase City II</t>
  </si>
  <si>
    <t>SONGOG26/22233</t>
  </si>
  <si>
    <t>TATA Genius DEF W/O SPOUT (1*10) - PVBU</t>
  </si>
  <si>
    <t>SONGOG26/22234</t>
  </si>
  <si>
    <t>Rahul Pam  Pvt LTD</t>
  </si>
  <si>
    <t>SONGOG26/22251</t>
  </si>
  <si>
    <t>HR69C7317</t>
  </si>
  <si>
    <t>SONGOG26/22252</t>
  </si>
  <si>
    <t>Premium Motocorp India Pvt LTD</t>
  </si>
  <si>
    <t>Rewari</t>
  </si>
  <si>
    <t>SONGOG26/22253</t>
  </si>
  <si>
    <t>Mega Motors Pvt LTD</t>
  </si>
  <si>
    <t>SONGOG26/22254</t>
  </si>
  <si>
    <t>SONGOG26/22255</t>
  </si>
  <si>
    <t>T R Motors</t>
  </si>
  <si>
    <t>Sahabad</t>
  </si>
  <si>
    <t>SONGOG26/22257</t>
  </si>
  <si>
    <t>A G Motors</t>
  </si>
  <si>
    <t>Amritsar</t>
  </si>
  <si>
    <t>SONGOG26/22258</t>
  </si>
  <si>
    <t>Jasper Industries Pvt LTD</t>
  </si>
  <si>
    <t>New Delhi</t>
  </si>
  <si>
    <t>SONGOG26/22259</t>
  </si>
  <si>
    <t>SONGOG26/22260</t>
  </si>
  <si>
    <t>SONGOG26/22261</t>
  </si>
  <si>
    <t>Patiala Road</t>
  </si>
  <si>
    <t>SONGOG26/22262</t>
  </si>
  <si>
    <t>SONGOG26/22263</t>
  </si>
  <si>
    <t>SONGOG26/22265</t>
  </si>
  <si>
    <t>SONGOG26/22264</t>
  </si>
  <si>
    <t>Classic Motors - Bhiwadi</t>
  </si>
  <si>
    <t>Tureconnecting Wheels Pvt LTD</t>
  </si>
  <si>
    <t>SONGOG26/22266</t>
  </si>
  <si>
    <t>SONGOG26/22267</t>
  </si>
  <si>
    <t>Panchkula Roller Flour Mills LTD</t>
  </si>
  <si>
    <t>Panchkula</t>
  </si>
  <si>
    <t>SONGOG26/22268</t>
  </si>
  <si>
    <t>Remarsk</t>
  </si>
  <si>
    <t>FTL</t>
  </si>
  <si>
    <t>Dispatch</t>
  </si>
  <si>
    <t>Sohni Motors Lvt LTD</t>
  </si>
  <si>
    <t>Karnal</t>
  </si>
  <si>
    <t>TATA Genius DEF (20*1) - CVBU</t>
  </si>
  <si>
    <t>HR45C7065</t>
  </si>
  <si>
    <t>HR69C8247</t>
  </si>
  <si>
    <t>HR69C7642</t>
  </si>
  <si>
    <t>HR69C7371</t>
  </si>
  <si>
    <t>Shri Krishna Four wheel Pvt LTD</t>
  </si>
  <si>
    <t>Sikar</t>
  </si>
  <si>
    <t>SONGOG26/22277</t>
  </si>
  <si>
    <t>SONGOG26/22278</t>
  </si>
  <si>
    <t>SONGOG26/22279</t>
  </si>
  <si>
    <t>Fairdeal Motors And Workshop Pvt PTD</t>
  </si>
  <si>
    <t>Jammu</t>
  </si>
  <si>
    <t>SONGOG26/22280</t>
  </si>
  <si>
    <t>Kosmo Vehicles Pvt LTD</t>
  </si>
  <si>
    <t>Jalandhar</t>
  </si>
  <si>
    <t>SONGOG26/22281</t>
  </si>
  <si>
    <t>Telmos Automobiles Pvt LTD</t>
  </si>
  <si>
    <t>Hissar</t>
  </si>
  <si>
    <t>SONGOG26/22282</t>
  </si>
  <si>
    <t>SONGOG26/22283</t>
  </si>
  <si>
    <t>Metro Motors Kurukshetra</t>
  </si>
  <si>
    <t>Kurukshetra</t>
  </si>
  <si>
    <t>SONGOG26/22284</t>
  </si>
  <si>
    <t>SONGOG26/22285</t>
  </si>
  <si>
    <t>Joshi Autotech Pvt LTD</t>
  </si>
  <si>
    <t>Mohali</t>
  </si>
  <si>
    <t>SONGOG26/22286</t>
  </si>
  <si>
    <t>Raj Motors</t>
  </si>
  <si>
    <t>Rohtak</t>
  </si>
  <si>
    <t>SONGOG26/22287</t>
  </si>
  <si>
    <t>SONGOG26/22288</t>
  </si>
  <si>
    <t>Magan Wheels Pvt LTD</t>
  </si>
  <si>
    <t>Palwal</t>
  </si>
  <si>
    <t>SONGOG26/22289</t>
  </si>
  <si>
    <t>Shrikrishna Raj Fourwheels Lvt LD</t>
  </si>
  <si>
    <t>Jhunjhunu</t>
  </si>
  <si>
    <t>SONGOG26/22290</t>
  </si>
  <si>
    <t>SONGOG26/22291</t>
  </si>
  <si>
    <t>Shree Motors</t>
  </si>
  <si>
    <t>Agra</t>
  </si>
  <si>
    <t>SONGOG26/22292</t>
  </si>
  <si>
    <t>SONGOG26/22293</t>
  </si>
  <si>
    <t>Autovikash Sales and Service Pvt LTD</t>
  </si>
  <si>
    <t>SONGOG26/22294</t>
  </si>
  <si>
    <t>SONGOG26/22295</t>
  </si>
  <si>
    <t>SONGOG26/22296</t>
  </si>
  <si>
    <t>Triumph Auto Engg Pvt LTD</t>
  </si>
  <si>
    <t>Gurgaon</t>
  </si>
  <si>
    <t>SONGOG26/22297</t>
  </si>
  <si>
    <t>SONGOG26/22298</t>
  </si>
  <si>
    <t>Metro Motors Pvt LTD</t>
  </si>
  <si>
    <t>Sagar Motors Sec-5</t>
  </si>
  <si>
    <t>Noida</t>
  </si>
  <si>
    <t>SONGOG26/22299</t>
  </si>
  <si>
    <t>SONGOG26/22300</t>
  </si>
  <si>
    <t>HR38Z7246</t>
  </si>
  <si>
    <t>Sagar Motors 300A072</t>
  </si>
  <si>
    <t>SONGOG26/22301</t>
  </si>
  <si>
    <t>Dada Motors Pvt LTD</t>
  </si>
  <si>
    <t>Ludhiana</t>
  </si>
  <si>
    <t>SONGOG26/22302</t>
  </si>
  <si>
    <t>SONGOG26/22303</t>
  </si>
  <si>
    <t>SONGOG26/22304</t>
  </si>
  <si>
    <t>Ashok Auto Sales LTD</t>
  </si>
  <si>
    <t>SONGOG26/22305</t>
  </si>
  <si>
    <t>Jaisalmer Motors</t>
  </si>
  <si>
    <t>Jaisalmer</t>
  </si>
  <si>
    <t>TATA Genius DEF (200*1) - CVBU</t>
  </si>
  <si>
    <t>C K Motors</t>
  </si>
  <si>
    <t>Dungarpur</t>
  </si>
  <si>
    <t>TATA Genius DEF (5*4) - CVBU</t>
  </si>
  <si>
    <t xml:space="preserve">Gatum enginering </t>
  </si>
  <si>
    <t>Srinagar</t>
  </si>
  <si>
    <t>TATA Genius DEF (1*20) - CVBU</t>
  </si>
  <si>
    <t>Singhal</t>
  </si>
  <si>
    <t>Azamghar</t>
  </si>
  <si>
    <t>MLK Auto Pvt LTD</t>
  </si>
  <si>
    <t>Smam Automet Pvt LTD</t>
  </si>
  <si>
    <t>kathua</t>
  </si>
  <si>
    <t>SONGIV2622594</t>
  </si>
  <si>
    <t>SONGIV2622595</t>
  </si>
  <si>
    <t>SONGIV2622596</t>
  </si>
  <si>
    <t>TATA Genius DEF (5*4) - PVBU</t>
  </si>
  <si>
    <t xml:space="preserve">Pascos </t>
  </si>
  <si>
    <t>SANGRUR</t>
  </si>
  <si>
    <t>Techno Auto Sparesgodown</t>
  </si>
  <si>
    <t>SONGOG26/22311</t>
  </si>
  <si>
    <t>SONGOG26/22312</t>
  </si>
  <si>
    <t>SONGOG26/22313</t>
  </si>
  <si>
    <t>Shree Balaji Autowheels India Pvt LTD</t>
  </si>
  <si>
    <t>Moradabad</t>
  </si>
  <si>
    <t>SONGOG26/22314</t>
  </si>
  <si>
    <t>Magan Motors Pvt LTD</t>
  </si>
  <si>
    <t>SONGOG26/22315</t>
  </si>
  <si>
    <t>SONGOG26/22316</t>
  </si>
  <si>
    <t>Gola Ganpati Motors</t>
  </si>
  <si>
    <t>Haldawani</t>
  </si>
  <si>
    <t>SONGOG26/22317</t>
  </si>
  <si>
    <t>SONGOG26/22318</t>
  </si>
  <si>
    <t>J P Motors</t>
  </si>
  <si>
    <t>Solan</t>
  </si>
  <si>
    <t>SONGOG26/22319</t>
  </si>
  <si>
    <t>SONGOG26/22320</t>
  </si>
  <si>
    <t>CSG Automobiles Pvt LTD</t>
  </si>
  <si>
    <t>SONGOG26/22321</t>
  </si>
  <si>
    <t>SONGOG26/22322</t>
  </si>
  <si>
    <t>SONGOG26/22323</t>
  </si>
  <si>
    <t>N G Automobiles Pvt LTD</t>
  </si>
  <si>
    <t>Hamirpur</t>
  </si>
  <si>
    <t>ANR Automobiles Pvt LTD</t>
  </si>
  <si>
    <t>SONGOG26/22324</t>
  </si>
  <si>
    <t>SONGOG26/22325</t>
  </si>
  <si>
    <t>SONGOG26/22326</t>
  </si>
  <si>
    <t>Autoplex AV</t>
  </si>
  <si>
    <t>Jaipur</t>
  </si>
  <si>
    <t>SONGOG26/22327</t>
  </si>
  <si>
    <t>SONGOG26/22328</t>
  </si>
  <si>
    <t>SONGOG26/22310</t>
  </si>
  <si>
    <t>TATA Genius DEF (10*1) - PVBU</t>
  </si>
  <si>
    <t>Delivered</t>
  </si>
  <si>
    <t>Grand Total</t>
  </si>
  <si>
    <t>Sahni Motors Sales Pvt LTD</t>
  </si>
  <si>
    <t>SONGOG26/22347</t>
  </si>
  <si>
    <t>HR69G3673</t>
  </si>
  <si>
    <t>SONGOG26/22348</t>
  </si>
  <si>
    <t>SONGOG26/22346</t>
  </si>
  <si>
    <t>TATA Genius DEF (1*20) - PVBU</t>
  </si>
  <si>
    <t xml:space="preserve">Manjeet Filling Station </t>
  </si>
  <si>
    <t>JHUSO26/433653</t>
  </si>
  <si>
    <t>Phytron Mobilty Pvt LTD</t>
  </si>
  <si>
    <t>SONGOG26/22373</t>
  </si>
  <si>
    <t>SONGOG26/22374</t>
  </si>
  <si>
    <t>SONGOG26/22372</t>
  </si>
  <si>
    <t>Himgiri Automobile Pvt LTD</t>
  </si>
  <si>
    <t>SONGOG26/22336</t>
  </si>
  <si>
    <t>SONGOG26/22337</t>
  </si>
  <si>
    <t>SONGOG26/22338</t>
  </si>
  <si>
    <t>Auto Deck Motors Pvt LTD</t>
  </si>
  <si>
    <t>HR69D3675</t>
  </si>
  <si>
    <t>SONGOG26/22333</t>
  </si>
  <si>
    <t>SONGOG26/22334</t>
  </si>
  <si>
    <t xml:space="preserve">Dev Bhoomi Auto Cars LLP </t>
  </si>
  <si>
    <t>Rupnagar</t>
  </si>
  <si>
    <t>SONGOG26/22335</t>
  </si>
  <si>
    <t>Sidham Motors Lvt LTD</t>
  </si>
  <si>
    <t>Bathinda</t>
  </si>
  <si>
    <t>SONGOG26/22340</t>
  </si>
  <si>
    <t>SONGOG26/22341</t>
  </si>
  <si>
    <t>SONGOG26/22342</t>
  </si>
  <si>
    <t>Ganpati Signature Cars Pvt LTD</t>
  </si>
  <si>
    <t>Faridkot</t>
  </si>
  <si>
    <t>SONGOG26/22343</t>
  </si>
  <si>
    <t>Yash Motors</t>
  </si>
  <si>
    <t>Bhilwara</t>
  </si>
  <si>
    <t>SONGOG26/22344</t>
  </si>
  <si>
    <t>SONGOG26/22345</t>
  </si>
  <si>
    <t>Shree Shyam Motors</t>
  </si>
  <si>
    <t>SONGOG26/22349</t>
  </si>
  <si>
    <t>Zedex Mobility LLP</t>
  </si>
  <si>
    <t>SONGOG26/22350</t>
  </si>
  <si>
    <t>SONGOG26/22351</t>
  </si>
  <si>
    <t>SONGOG26/22352</t>
  </si>
  <si>
    <t>Anjney Automobiles PVT LTD</t>
  </si>
  <si>
    <t>Meerut</t>
  </si>
  <si>
    <t>SONGOG26/22353</t>
  </si>
  <si>
    <t>SONGOG26/22354</t>
  </si>
  <si>
    <t>SONGOG26/22355</t>
  </si>
  <si>
    <t xml:space="preserve">Sagar Motors </t>
  </si>
  <si>
    <t>SONGOG26/22356</t>
  </si>
  <si>
    <t>SONGOG26/22361</t>
  </si>
  <si>
    <t>SONGOG26/22360</t>
  </si>
  <si>
    <t xml:space="preserve">JP &amp; Kosmo Mobility </t>
  </si>
  <si>
    <t>SONGOG26/22363</t>
  </si>
  <si>
    <t>SONGOG26/22357</t>
  </si>
  <si>
    <t>RSA Dynamic Motors Lvt LTD</t>
  </si>
  <si>
    <t>Chandigarh</t>
  </si>
  <si>
    <t>SONGOG26/22358</t>
  </si>
  <si>
    <t>SONGOG26/22359</t>
  </si>
  <si>
    <t>SONGOG26/22364</t>
  </si>
  <si>
    <t>SONGOG26/22365</t>
  </si>
  <si>
    <t>Chambal Motors Pvt LTD</t>
  </si>
  <si>
    <t>Kota</t>
  </si>
  <si>
    <t>SONGOG26/22366</t>
  </si>
  <si>
    <t>SONGOG26/22367</t>
  </si>
  <si>
    <t>Rawat Motors</t>
  </si>
  <si>
    <t>SONGOG26/22368</t>
  </si>
  <si>
    <t>Dunac Automobiles Pvt LTD</t>
  </si>
  <si>
    <t>Sri Ganganagar</t>
  </si>
  <si>
    <t>SONGOG26/22369</t>
  </si>
  <si>
    <t>SONGOG26/22370</t>
  </si>
  <si>
    <t>SONGOG26/22371</t>
  </si>
  <si>
    <t>SONGOG26/22375</t>
  </si>
  <si>
    <t>K Y Auto Pvt LTD</t>
  </si>
  <si>
    <t>Anantnag</t>
  </si>
  <si>
    <t>SONGOG26/22376</t>
  </si>
  <si>
    <t>Kamal Passengar Vehicle Pvt LTD</t>
  </si>
  <si>
    <t>SONGOG26/22377</t>
  </si>
  <si>
    <t>Sab Motors Pvt LTD</t>
  </si>
  <si>
    <t>SONGOG26/22378</t>
  </si>
  <si>
    <t>SONGOG26/22379</t>
  </si>
  <si>
    <t>SONGOG26/22380</t>
  </si>
  <si>
    <t>Rachna Motors Pvt LTD</t>
  </si>
  <si>
    <t>SONGOG26/22381</t>
  </si>
  <si>
    <t>SP Automobile</t>
  </si>
  <si>
    <t>Udaipur</t>
  </si>
  <si>
    <t>SONGOG26/22382</t>
  </si>
  <si>
    <t>Shree Vasu Automobiles LTD</t>
  </si>
  <si>
    <t>SONGOG26/22384</t>
  </si>
  <si>
    <t>HR55AP1830</t>
  </si>
  <si>
    <t>SONGOG26/22385</t>
  </si>
  <si>
    <t>SONGOG26/22386</t>
  </si>
  <si>
    <t>Sagar Motors</t>
  </si>
  <si>
    <t>SONGOG26/22387</t>
  </si>
  <si>
    <t>SONGOG26/22388</t>
  </si>
  <si>
    <t xml:space="preserve">Metro Motors </t>
  </si>
  <si>
    <t>Jagadhri</t>
  </si>
  <si>
    <t>SONGOG26/22389</t>
  </si>
  <si>
    <t>JP Motors-Baddi</t>
  </si>
  <si>
    <t>Baddi</t>
  </si>
  <si>
    <t>SONGOG26/22390</t>
  </si>
  <si>
    <t>SONGOG26/22391</t>
  </si>
  <si>
    <t>SONGOG26/22392</t>
  </si>
  <si>
    <t>SONGOG26/22393</t>
  </si>
  <si>
    <t>SONGOG26/22394</t>
  </si>
  <si>
    <t>Mudgal Motors</t>
  </si>
  <si>
    <t>Ajmer</t>
  </si>
  <si>
    <t>SONGOG26/22395</t>
  </si>
  <si>
    <t>Chambal Motocorp LLP</t>
  </si>
  <si>
    <t>SONGOG26/22397</t>
  </si>
  <si>
    <t xml:space="preserve">Shiva Cares </t>
  </si>
  <si>
    <t>JHUSO26/433761</t>
  </si>
  <si>
    <t>HP DEF - 4*5L</t>
  </si>
  <si>
    <t>MS Magpie Filling Station</t>
  </si>
  <si>
    <t>Kargil</t>
  </si>
  <si>
    <t>JHUSO26/433774</t>
  </si>
  <si>
    <t>TATA Motors HP Genuine Def - 1*20L</t>
  </si>
  <si>
    <t>TATA Motors HP Genuine Def - 4*5L</t>
  </si>
  <si>
    <t>Sabah HP Filling Station</t>
  </si>
  <si>
    <t>JHUSO26/433775</t>
  </si>
  <si>
    <t>Goyal HP</t>
  </si>
  <si>
    <t>Leo HP Highwai Services</t>
  </si>
  <si>
    <t>Kapurtha</t>
  </si>
  <si>
    <t>JHUSO26/433778</t>
  </si>
  <si>
    <t>Sum of TOTAL QUANTITY IN LTRS</t>
  </si>
  <si>
    <t xml:space="preserve">Moti Ram &amp; Sons </t>
  </si>
  <si>
    <t>JHUSO26/433788</t>
  </si>
  <si>
    <t>H.P Shri Bankey Bihari Filling Station</t>
  </si>
  <si>
    <t>JHUSO26/433794</t>
  </si>
  <si>
    <t>Ramsons Aqua LTD</t>
  </si>
  <si>
    <t>JHUSO26/433795</t>
  </si>
  <si>
    <t xml:space="preserve">H.P Avishi Fules </t>
  </si>
  <si>
    <t>JHUSO26/433796</t>
  </si>
  <si>
    <t>M/S H P Krishanpal Filling Station</t>
  </si>
  <si>
    <t>JHUSO26/433797</t>
  </si>
  <si>
    <t>H P Akash Filling Station</t>
  </si>
  <si>
    <t>JHUSO26/433798</t>
  </si>
  <si>
    <t>Yadav Service Station</t>
  </si>
  <si>
    <t>JHUSO26/433799</t>
  </si>
  <si>
    <t>Dev HP Fules</t>
  </si>
  <si>
    <t>JHUSO26/433803</t>
  </si>
  <si>
    <t>SONGOG26/22670</t>
  </si>
  <si>
    <t>Shree Nath JI HP filling Station</t>
  </si>
  <si>
    <t>JHUSO26/433802</t>
  </si>
  <si>
    <t>HR55AJ0314</t>
  </si>
  <si>
    <t>Dev fuels</t>
  </si>
  <si>
    <t>JHU026/433804</t>
  </si>
  <si>
    <t>M/s Akash Prithvi Filling Station</t>
  </si>
  <si>
    <t>JHU026/433805</t>
  </si>
  <si>
    <t xml:space="preserve">Shree Radha Filling Station </t>
  </si>
  <si>
    <t xml:space="preserve">HP Manu Fules </t>
  </si>
  <si>
    <t>H P Ellar Filling Station</t>
  </si>
  <si>
    <t xml:space="preserve">Avijit Enterprises </t>
  </si>
  <si>
    <t>JHU026/433808</t>
  </si>
  <si>
    <t>JHU026/433785</t>
  </si>
  <si>
    <t>JHU026/433786</t>
  </si>
  <si>
    <t>JHU026/433787</t>
  </si>
  <si>
    <t>Paawan Filling Station</t>
  </si>
  <si>
    <t>JHU026/433791</t>
  </si>
  <si>
    <t>H P Om Sai Ram Oil</t>
  </si>
  <si>
    <t>JHU026/433792</t>
  </si>
  <si>
    <t>Shree Giriraj Filling Station</t>
  </si>
  <si>
    <t>JHU026/433793</t>
  </si>
  <si>
    <t>Bishamber Fuel Station</t>
  </si>
  <si>
    <t>JHU026/433811</t>
  </si>
  <si>
    <t>Royal Petrol</t>
  </si>
  <si>
    <t>JHU026/433790</t>
  </si>
  <si>
    <t>Meerut Automobiles Pvt LTD</t>
  </si>
  <si>
    <t>Ghaziabad</t>
  </si>
  <si>
    <t>HR55BA8405</t>
  </si>
  <si>
    <t>HR69D2486</t>
  </si>
  <si>
    <t>H.P Om Shanti Filling Station</t>
  </si>
  <si>
    <t>JHU026/433800</t>
  </si>
  <si>
    <t>HR47G3068</t>
  </si>
  <si>
    <t>JHU026/433801</t>
  </si>
  <si>
    <t>Shree Krishna Filling Station</t>
  </si>
  <si>
    <t>Shri Chandan Filling Station</t>
  </si>
  <si>
    <t>JHU026/433807</t>
  </si>
  <si>
    <t>HP Sarlanand</t>
  </si>
  <si>
    <t>JHU026/433809</t>
  </si>
  <si>
    <t>Shree Gopal Filling Station</t>
  </si>
  <si>
    <t>JHU026/433810</t>
  </si>
  <si>
    <t>Kalka Sales</t>
  </si>
  <si>
    <t>HP Fuel Juction</t>
  </si>
  <si>
    <t>JHU026/433813</t>
  </si>
  <si>
    <t>Shri Ram Fuels</t>
  </si>
  <si>
    <t>Jhajjar</t>
  </si>
  <si>
    <t>JHU026/433815</t>
  </si>
  <si>
    <t>Ram Prakash Mulkh Raj</t>
  </si>
  <si>
    <t>JHU026/433817</t>
  </si>
  <si>
    <t>Dhillon Filling Station</t>
  </si>
  <si>
    <t>Saawariya Filling Station</t>
  </si>
  <si>
    <t>Panipat</t>
  </si>
  <si>
    <t>JHU026/433819</t>
  </si>
  <si>
    <t>Remarks 1</t>
  </si>
  <si>
    <t>In transit</t>
  </si>
  <si>
    <t>SONGOG26/22339</t>
  </si>
  <si>
    <t>Phytron Motors Pvt LTD</t>
  </si>
  <si>
    <t>HR4743068</t>
  </si>
  <si>
    <t>SONGIV26/22672</t>
  </si>
  <si>
    <t>Shree Chandan filling station</t>
  </si>
  <si>
    <t>JHUS026/433818</t>
  </si>
  <si>
    <t>Mascot Motors Pvt Ltd</t>
  </si>
  <si>
    <t>Bulandshahr</t>
  </si>
  <si>
    <t>SONSOG26/22400</t>
  </si>
  <si>
    <t>SONSOG26/22401</t>
  </si>
  <si>
    <t>SONSOG26/22402</t>
  </si>
  <si>
    <t>Metro Motors</t>
  </si>
  <si>
    <t>Ambala</t>
  </si>
  <si>
    <t>SONSOG26/22405</t>
  </si>
  <si>
    <t>SONSOG26/22406</t>
  </si>
  <si>
    <t>Frontier Commercial Vehicles Pvt Ltd</t>
  </si>
  <si>
    <t>SONSOG26/22407</t>
  </si>
  <si>
    <t>Zealtel Global Pvt Ltd</t>
  </si>
  <si>
    <t>SONSOG26/22408</t>
  </si>
  <si>
    <t>SONSOG26/22409</t>
  </si>
  <si>
    <t>SONSOG26/22410</t>
  </si>
  <si>
    <t>SONSOG26/22411</t>
  </si>
  <si>
    <t>SONSOG26/22412</t>
  </si>
  <si>
    <t>SHAHBAD</t>
  </si>
  <si>
    <t>SONSOG26/22413</t>
  </si>
  <si>
    <t>Ganganagar Automobiles Pvt Ltd</t>
  </si>
  <si>
    <t>Delhi</t>
  </si>
  <si>
    <t>SONSOG26/22414</t>
  </si>
  <si>
    <t>SONSOG26/22415</t>
  </si>
  <si>
    <t>First Mobital Pvt Ltd</t>
  </si>
  <si>
    <t>SONSOG26/22416</t>
  </si>
  <si>
    <t xml:space="preserve">LandMark Petro Junction </t>
  </si>
  <si>
    <t>JHUSO26/436820</t>
  </si>
  <si>
    <t xml:space="preserve">Parihar filling  station </t>
  </si>
  <si>
    <t>Bageshwar</t>
  </si>
  <si>
    <t>JHUSO26/436822</t>
  </si>
  <si>
    <t>Devbhoomi filling station</t>
  </si>
  <si>
    <t>Haridwar</t>
  </si>
  <si>
    <t>JHUSO26/436823</t>
  </si>
  <si>
    <t xml:space="preserve">M S Sunmax Fuels </t>
  </si>
  <si>
    <t>JHUSO26/436824</t>
  </si>
  <si>
    <t>Atharv filling station</t>
  </si>
  <si>
    <t>JHUSO26/436825</t>
  </si>
  <si>
    <t>Raja Saheb HP Fuels</t>
  </si>
  <si>
    <t>Hosiarpur</t>
  </si>
  <si>
    <t>JHUSO26/436826</t>
  </si>
  <si>
    <t>Muzaffarnagar</t>
  </si>
  <si>
    <t>TATA Motors HP Genuine Def - 1*10L</t>
  </si>
  <si>
    <t xml:space="preserve">Amit Auto Wheels </t>
  </si>
  <si>
    <t>Rudurpur</t>
  </si>
  <si>
    <t>Tanakpur</t>
  </si>
  <si>
    <t>Dispatch Date</t>
  </si>
  <si>
    <t>Dispatch Vehicle</t>
  </si>
  <si>
    <t>Vendor Name</t>
  </si>
  <si>
    <t>Drona</t>
  </si>
  <si>
    <t>HR55AK8564</t>
  </si>
  <si>
    <t>Sumit</t>
  </si>
  <si>
    <t>Shri Shyam</t>
  </si>
  <si>
    <t xml:space="preserve">SP Automotive </t>
  </si>
  <si>
    <t>Ganganagar  Agences Ltd</t>
  </si>
  <si>
    <t>SONGIV26/22771</t>
  </si>
  <si>
    <t>SONGIV26/22773</t>
  </si>
  <si>
    <t>SONGIV26/22770</t>
  </si>
  <si>
    <t>SONGIV26/22772</t>
  </si>
  <si>
    <t>Jaan Mohammad</t>
  </si>
  <si>
    <t>Deepak</t>
  </si>
  <si>
    <t>HR60G3673</t>
  </si>
  <si>
    <t>Bajaj Associates</t>
  </si>
  <si>
    <t>SONSOG26/22423</t>
  </si>
  <si>
    <t>SONSOG26/22424</t>
  </si>
  <si>
    <t>SONSOG26/22425</t>
  </si>
  <si>
    <t>SONSOG26/22427</t>
  </si>
  <si>
    <t>MS/HSD Saket filling station</t>
  </si>
  <si>
    <t>JHUSO26/433835</t>
  </si>
  <si>
    <t>J K R Motors Pvt Ltd</t>
  </si>
  <si>
    <t>Kangra</t>
  </si>
  <si>
    <t>SONSOG26/22418</t>
  </si>
  <si>
    <t>SONSOG26/22419</t>
  </si>
  <si>
    <t>SONSOG26/22420</t>
  </si>
  <si>
    <t>SONSOG26/22426</t>
  </si>
  <si>
    <t>SONSOG26/22428</t>
  </si>
  <si>
    <t>SONSOG26/22429</t>
  </si>
  <si>
    <t>Marudhara Motors</t>
  </si>
  <si>
    <t>Jodhpur</t>
  </si>
  <si>
    <t>SONSOG26/22430</t>
  </si>
  <si>
    <t>SONSOG26/22438</t>
  </si>
  <si>
    <t>P S Motor workshop Pvt Ltd</t>
  </si>
  <si>
    <t>Jallandhar</t>
  </si>
  <si>
    <t>SONSOG26/22439</t>
  </si>
  <si>
    <t>SONSOG26/22440</t>
  </si>
  <si>
    <t>Midas Motors</t>
  </si>
  <si>
    <t>Roorkee</t>
  </si>
  <si>
    <t>SONSOG26/22443</t>
  </si>
  <si>
    <t>Dheeraj Motocrop India Pvt Ltd</t>
  </si>
  <si>
    <t>Narnaul</t>
  </si>
  <si>
    <t>SONSOG26/22450</t>
  </si>
  <si>
    <t>SONSOG26/22451</t>
  </si>
  <si>
    <t>SONSOG26/22452</t>
  </si>
  <si>
    <t>SONSOG26/22453</t>
  </si>
  <si>
    <t>T S B Motors Pvt Ltd</t>
  </si>
  <si>
    <t>Banswara</t>
  </si>
  <si>
    <t>SONSOG26/22456</t>
  </si>
  <si>
    <t xml:space="preserve">Roshan Motors Cars Pvt Ltd </t>
  </si>
  <si>
    <t xml:space="preserve">Jaipur </t>
  </si>
  <si>
    <t>SONSOG26/22457</t>
  </si>
  <si>
    <t>SONSOG26/22458</t>
  </si>
  <si>
    <t>SONSOG26/22459</t>
  </si>
  <si>
    <t>SONSOG26/22460</t>
  </si>
  <si>
    <t>Shri HPS Automobile</t>
  </si>
  <si>
    <t>Churu</t>
  </si>
  <si>
    <t>SONSOG26/22461</t>
  </si>
  <si>
    <t>SONSOG26/22462</t>
  </si>
  <si>
    <t>S P Automotive</t>
  </si>
  <si>
    <t>SONSOG26/22464</t>
  </si>
  <si>
    <t>Bikaner</t>
  </si>
  <si>
    <t>SONSOG26/22468</t>
  </si>
  <si>
    <t>Maa Azadkaur filling station</t>
  </si>
  <si>
    <t>JHUSO26/433814</t>
  </si>
  <si>
    <t>Badhwar filling station</t>
  </si>
  <si>
    <t>JHUSO26/433816</t>
  </si>
  <si>
    <t>Abohar</t>
  </si>
  <si>
    <t>SONSOG26/22471</t>
  </si>
  <si>
    <t>Hisar</t>
  </si>
  <si>
    <t>SONSOG26/22449</t>
  </si>
  <si>
    <t xml:space="preserve">MS/HSD Sundar filling station </t>
  </si>
  <si>
    <t>PURI GARHWAL</t>
  </si>
  <si>
    <t>HP DR Oil Co.</t>
  </si>
  <si>
    <t>JHUSO26/436834</t>
  </si>
  <si>
    <t>JHUSO26/436821</t>
  </si>
  <si>
    <t xml:space="preserve">Suraj Kaur filling Station </t>
  </si>
  <si>
    <t>Mahendergarh</t>
  </si>
  <si>
    <t xml:space="preserve">MS Vinay Service </t>
  </si>
  <si>
    <t>Bilaspur</t>
  </si>
  <si>
    <t>MS Harihar Service station</t>
  </si>
  <si>
    <t>Gupta Spares Industries Pvt Ltd</t>
  </si>
  <si>
    <t>UPSRTC</t>
  </si>
  <si>
    <t>Aligarh</t>
  </si>
  <si>
    <t>HR69D2058</t>
  </si>
  <si>
    <t>DL01MA6676</t>
  </si>
  <si>
    <t>Kanpur</t>
  </si>
  <si>
    <t>Tata Genuine Def 5 Ltr</t>
  </si>
  <si>
    <t>HALDWANI</t>
  </si>
  <si>
    <t xml:space="preserve">BARELLY </t>
  </si>
  <si>
    <t xml:space="preserve">KANPUR </t>
  </si>
  <si>
    <t>MEERUT</t>
  </si>
  <si>
    <t xml:space="preserve">SAMARIYA MOTORS </t>
  </si>
  <si>
    <t xml:space="preserve">JAIPUR </t>
  </si>
  <si>
    <t xml:space="preserve">PASCO MOTORS </t>
  </si>
  <si>
    <t xml:space="preserve">DASARKA </t>
  </si>
  <si>
    <t xml:space="preserve">SINGHAL MOTORS </t>
  </si>
  <si>
    <t xml:space="preserve">AZAMGARH </t>
  </si>
  <si>
    <t>PAL FILLING STATION</t>
  </si>
  <si>
    <t>DEHRADUN</t>
  </si>
  <si>
    <t xml:space="preserve">TATA GENUINE HP 1* 20 LTR </t>
  </si>
  <si>
    <t xml:space="preserve">SHIRAZ MOTORS </t>
  </si>
  <si>
    <t xml:space="preserve">BADGAM </t>
  </si>
  <si>
    <t>HIND FILLING STATION</t>
  </si>
  <si>
    <t xml:space="preserve">PRABHU JI FILLING STATION </t>
  </si>
  <si>
    <t xml:space="preserve">PANCHKULA </t>
  </si>
  <si>
    <t xml:space="preserve">AKAR FOURWHEELS PVT LTD </t>
  </si>
  <si>
    <t xml:space="preserve">AJMER </t>
  </si>
  <si>
    <t xml:space="preserve">AG MOTORS </t>
  </si>
  <si>
    <t xml:space="preserve">PATHANKOT </t>
  </si>
  <si>
    <t xml:space="preserve">KHAKI BABA FILLING STATION </t>
  </si>
  <si>
    <t xml:space="preserve">REWARI </t>
  </si>
  <si>
    <t xml:space="preserve">HISAR </t>
  </si>
  <si>
    <t xml:space="preserve">TATA GENUINE DEF 1*10 LTR </t>
  </si>
  <si>
    <t>Return</t>
  </si>
  <si>
    <t>Ravindar</t>
  </si>
  <si>
    <t>HR46G1462</t>
  </si>
  <si>
    <t>HR69G8857</t>
  </si>
  <si>
    <t>Sagar</t>
  </si>
  <si>
    <t>TATA HP  DEF (4*5) - PVBU</t>
  </si>
  <si>
    <t>HR2730335094</t>
  </si>
  <si>
    <t>HR69D6635</t>
  </si>
  <si>
    <t xml:space="preserve">TATA GENUINE DEF 210 LTR </t>
  </si>
  <si>
    <t>HR69D0970</t>
  </si>
  <si>
    <t>Nosad</t>
  </si>
  <si>
    <t>DL6CD2444</t>
  </si>
  <si>
    <t>Akshit</t>
  </si>
  <si>
    <t>Ghumman Distributors Pvt LTD</t>
  </si>
  <si>
    <t>TATA Genius DEF 5 LTR - CVBU</t>
  </si>
  <si>
    <t>HR47G0160</t>
  </si>
  <si>
    <t>HR30G3068</t>
  </si>
  <si>
    <t>DL01AG0815</t>
  </si>
  <si>
    <t>21-082026</t>
  </si>
  <si>
    <t>HR69C7326</t>
  </si>
  <si>
    <t>HR69C7328</t>
  </si>
  <si>
    <t>HR69C7332</t>
  </si>
  <si>
    <t>HR69C7333</t>
  </si>
  <si>
    <t>HR69C7334</t>
  </si>
  <si>
    <t>HR69C7338</t>
  </si>
  <si>
    <t>HR69C7342</t>
  </si>
  <si>
    <t>Route Code</t>
  </si>
  <si>
    <t>KRC Express</t>
  </si>
  <si>
    <t>HR47A3068</t>
  </si>
  <si>
    <t>Ravinder Route 1</t>
  </si>
  <si>
    <t>JM Route 1</t>
  </si>
  <si>
    <t>JM Route 2</t>
  </si>
  <si>
    <t>JM Route 3</t>
  </si>
  <si>
    <t>JM Route 4</t>
  </si>
  <si>
    <t>Deepak Route 1</t>
  </si>
  <si>
    <t>Deepak Route 2</t>
  </si>
  <si>
    <t>Deepak Route 3</t>
  </si>
  <si>
    <t>Deepak Route 4</t>
  </si>
  <si>
    <t>Nosad Route 1</t>
  </si>
  <si>
    <t>Sagar Route 1</t>
  </si>
  <si>
    <t>Sumit Route 1</t>
  </si>
  <si>
    <t>Sumit Route 2</t>
  </si>
  <si>
    <t>Sumit Route 3</t>
  </si>
  <si>
    <t>Sumit Route 4</t>
  </si>
  <si>
    <t>KRC Route 1</t>
  </si>
  <si>
    <t>KRC Route 2</t>
  </si>
  <si>
    <t>SS Route 1</t>
  </si>
  <si>
    <t>SS Route 2</t>
  </si>
  <si>
    <t>SS Route 3</t>
  </si>
  <si>
    <t>SS Route 4</t>
  </si>
  <si>
    <t>AK Route 1</t>
  </si>
  <si>
    <t>Received</t>
  </si>
  <si>
    <t>JK02DD8545</t>
  </si>
  <si>
    <t>Jaan Mohmmad</t>
  </si>
  <si>
    <t>HR69G0857</t>
  </si>
  <si>
    <t>Handover to NPL</t>
  </si>
  <si>
    <t>HR69D6327</t>
  </si>
  <si>
    <t>Safexpress</t>
  </si>
  <si>
    <t>Patricia Holdings Pvt LTD</t>
  </si>
  <si>
    <t>HR2730344288</t>
  </si>
  <si>
    <t>TATA Genius DEF 20 LTR - PVBU</t>
  </si>
  <si>
    <t>Received By NPL</t>
  </si>
  <si>
    <t>Return by Sandeep</t>
  </si>
  <si>
    <t>Route Code2</t>
  </si>
  <si>
    <t>Return to WH</t>
  </si>
  <si>
    <t xml:space="preserve">Return </t>
  </si>
  <si>
    <t>POD Pending Rahul</t>
  </si>
  <si>
    <t>POD Status</t>
  </si>
  <si>
    <t>NPL Refused To Deliver</t>
  </si>
  <si>
    <t>TOTAL=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</si>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</sst>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40B55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30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40B55"/>
        <name val="Calibri"/>
        <family val="2"/>
        <scheme val="none"/>
      </font>
      <fill>
        <patternFill patternType="solid">
          <fgColor indexed="64"/>
          <bgColor rgb="FF9FC5E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chit Agrawal" refreshedDate="46247.564044212966" createdVersion="8" refreshedVersion="8" minRefreshableVersion="3" recordCount="287" xr:uid="{39FA44E7-8C7C-48D5-8615-88E525C52C1A}">
  <cacheSource type="worksheet">
    <worksheetSource ref="A2:Y267" sheet="MIS"/>
  </cacheSource>
  <cacheFields count="25">
    <cacheField name="SR. NO." numFmtId="0">
      <sharedItems containsSemiMixedTypes="0" containsString="0" containsNumber="1" containsInteger="1" minValue="1" maxValue="287"/>
    </cacheField>
    <cacheField name="PICKUP LOCATION" numFmtId="0">
      <sharedItems/>
    </cacheField>
    <cacheField name="PARTY NAME" numFmtId="0">
      <sharedItems count="132">
        <s v="Himgiri Automobile Pvt LTD"/>
        <s v="Auto Deck Motors Pvt LTD"/>
        <s v="Phytron Mobilty Pvt LTD"/>
        <s v="Dev Bhoomi Auto Cars LLP "/>
        <s v="Sidham Motors Lvt LTD"/>
        <s v="Telmos Automobiles Pvt LTD"/>
        <s v="Ganpati Signature Cars Pvt LTD"/>
        <s v="Yash Motors"/>
        <s v="Multitech Motors LLP"/>
        <s v="Shree Shyam Motors"/>
        <s v="Zedex Mobility LLP"/>
        <s v="Anjney Automobiles PVT LTD"/>
        <s v="Sagar Motors "/>
        <s v="RSA Dynamic Motors Lvt LTD"/>
        <s v="Fairdeal Motors And Workshop Pvt PTD"/>
        <s v="JP &amp; Kosmo Mobility "/>
        <s v="Kosmo Vehicles Pvt LTD"/>
        <s v="Chambal Motors Pvt LTD"/>
        <s v="Rawat Motors"/>
        <s v="Dunac Automobiles Pvt LTD"/>
        <s v="K Y Auto Pvt LTD"/>
        <s v="Kamal Passengar Vehicle Pvt LTD"/>
        <s v="Sab Motors Pvt LTD"/>
        <s v="Rachna Motors Pvt LTD"/>
        <s v="SP Automobile"/>
        <s v="Shree Vasu Automobiles LTD"/>
        <s v="Sagar Motors"/>
        <s v="Metro Motors "/>
        <s v="JP Motors-Baddi"/>
        <s v="Mudgal Motors"/>
        <s v="Chambal Motocorp LLP"/>
        <s v="Shiva Cares "/>
        <s v="MS Magpie Filling Station"/>
        <s v="Sabah HP Filling Station"/>
        <s v="Goyal HP"/>
        <s v="Leo HP Highwai Services"/>
        <s v="Car Clan - 3087430"/>
        <s v="Gnaganagar Automobile Pvt LTD"/>
        <s v="Sisothya ventures Pvt LTD"/>
        <s v="Oberai Motors"/>
        <s v="S L Oberai Minerals Pvt LTD"/>
        <s v="Singhal"/>
        <s v="A K Automobiles"/>
        <s v="Sahib Automotive Pvt LTD"/>
        <s v="MLK Auto Pvt LTD"/>
        <s v="Rahul Pam  Pvt LTD"/>
        <s v="Premium Motocorp India Pvt LTD"/>
        <s v="Mega Motors Pvt LTD"/>
        <s v="A G Motors"/>
        <s v="Jasper Industries Pvt LTD"/>
        <s v="Classic Motors - Bhiwadi"/>
        <s v="Tureconnecting Wheels Pvt LTD"/>
        <s v="Panchkula Roller Flour Mills LTD"/>
        <s v="Smam Automet Pvt LTD"/>
        <s v="T R Motors"/>
        <s v="Sohni Motors Lvt LTD"/>
        <s v="Pascos "/>
        <s v="Shri Krishna Four wheel Pvt LTD"/>
        <s v="Metro Motors Kurukshetra"/>
        <s v="Joshi Autotech Pvt LTD"/>
        <s v="Raj Motors"/>
        <s v="Magan Wheels Pvt LTD"/>
        <s v="Shrikrishna Raj Fourwheels Lvt LD"/>
        <s v="Shree Motors"/>
        <s v="Autovikash Sales and Service Pvt LTD"/>
        <s v="Triumph Auto Engg Pvt LTD"/>
        <s v="Metro Motors Pvt LTD"/>
        <s v="Jaisalmer Motors"/>
        <s v="C K Motors"/>
        <s v="Dada Motors Pvt LTD"/>
        <s v="Gatum enginering "/>
        <s v="Sagar Motors Sec-5"/>
        <s v="Sagar Motors 300A072"/>
        <s v="Ashok Auto Sales LTD"/>
        <s v="Techno Auto Sparesgodown"/>
        <s v="Shree Balaji Autowheels India Pvt LTD"/>
        <s v="Magan Motors Pvt LTD"/>
        <s v="Gola Ganpati Motors"/>
        <s v="J P Motors"/>
        <s v="Sahni Motors Sales Pvt LTD"/>
        <s v="CSG Automobiles Pvt LTD"/>
        <s v="N G Automobiles Pvt LTD"/>
        <s v="ANR Automobiles Pvt LTD"/>
        <s v="Autoplex AV"/>
        <s v="Manjeet Filling Station "/>
        <s v="Moti Ram &amp; Sons "/>
        <s v="H.P Shri Bankey Bihari Filling Station"/>
        <s v="Ramsons Aqua LTD"/>
        <s v="H.P Avishi Fules "/>
        <s v="M/S H P Krishanpal Filling Station"/>
        <s v="H P Akash Filling Station"/>
        <s v="Yadav Service Station"/>
        <s v="Dev HP Fules"/>
        <s v="Shree Nath JI HP filling Station"/>
        <s v="Dev fuels"/>
        <s v="M/s Akash Prithvi Filling Station"/>
        <s v="Shree Radha Filling Station "/>
        <s v="HP Manu Fules "/>
        <s v="H P Ellar Filling Station"/>
        <s v="Avijit Enterprises "/>
        <s v="Paawan Filling Station"/>
        <s v="H P Om Sai Ram Oil"/>
        <s v="Shree Giriraj Filling Station"/>
        <s v="Bishamber Fuel Station"/>
        <s v="Royal Petrol"/>
        <s v="Meerut Automobiles Pvt LTD"/>
        <s v="H.P Om Shanti Filling Station"/>
        <s v="Shree Krishna Filling Station"/>
        <s v="Shri Chandan Filling Station"/>
        <s v="HP Sarlanand"/>
        <s v="Shree Gopal Filling Station"/>
        <s v="Kalka Sales"/>
        <s v="HP Fuel Juction"/>
        <s v="Shri Ram Fuels"/>
        <s v="Ram Prakash Mulkh Raj"/>
        <s v="Dhillon Filling Station"/>
        <s v="Saawariya Filling Station"/>
        <s v="Phytron Motors Pvt LTD"/>
        <s v="Shree Chandan filling station"/>
        <s v="Mascot Motors Pvt Ltd"/>
        <s v="Metro Motors"/>
        <s v="Frontier Commercial Vehicles Pvt Ltd"/>
        <s v="Zealtel Global Pvt Ltd"/>
        <s v="Ganganagar Automobiles Pvt Ltd"/>
        <s v="First Mobital Pvt Ltd"/>
        <s v="LandMark Petro Junction "/>
        <s v="Parihar filling  station "/>
        <s v="Devbhoomi filling station"/>
        <s v="M S Sunmax Fuels "/>
        <s v="Atharv filling station"/>
        <s v="Raja Saheb HP Fuels"/>
        <s v="Amit Auto Wheels "/>
      </sharedItems>
    </cacheField>
    <cacheField name="DESTINATION" numFmtId="0">
      <sharedItems count="68">
        <s v="Gurgaon"/>
        <s v="Rupnagar"/>
        <s v="Bathinda"/>
        <s v="Hissar"/>
        <s v="Faridkot"/>
        <s v="Bhilwara"/>
        <s v="Faridabad"/>
        <s v="Jaipur"/>
        <s v="New Delhi"/>
        <s v="Meerut"/>
        <s v="Noida"/>
        <s v="Chandigarh"/>
        <s v="Srinagar"/>
        <s v="Ludhiana"/>
        <s v="Jalandhar"/>
        <s v="Kota"/>
        <s v="Sri Ganganagar"/>
        <s v="Anantnag"/>
        <s v="Udaipur"/>
        <s v="Jagadhri"/>
        <s v="Baddi"/>
        <s v="Ajmer"/>
        <s v="Kargil"/>
        <s v="Kapurtha"/>
        <s v="Sec 37 Phase City II"/>
        <s v="IMT Manesar Sec 2A"/>
        <s v="Saharanpur Road Dehradun"/>
        <s v="Dehradun"/>
        <s v="Azamghar"/>
        <s v="Bhiwadi"/>
        <s v="Kaithal"/>
        <s v="SANGRUR"/>
        <s v="Rewari"/>
        <s v="Sonipat"/>
        <s v="Amritsar"/>
        <s v="Patiala Road"/>
        <s v="Panchkula"/>
        <s v="kathua"/>
        <s v="Sahabad"/>
        <s v="Karnal"/>
        <s v="Sikar"/>
        <s v="Jammu"/>
        <s v="Kurukshetra"/>
        <s v="Mohali"/>
        <s v="Rohtak"/>
        <s v="Palwal"/>
        <s v="Jhunjhunu"/>
        <s v="Agra"/>
        <s v="Jaisalmer"/>
        <s v="Dungarpur"/>
        <s v="Moradabad"/>
        <s v="Haldawani"/>
        <s v="Solan"/>
        <s v="Hamirpur"/>
        <s v="Krnal"/>
        <s v="Ghaziabad"/>
        <s v="Jhajjar"/>
        <s v="Panipat"/>
        <s v="Bulandshahr"/>
        <s v="Ambala"/>
        <s v="SHAHBAD"/>
        <s v="Delhi"/>
        <s v="Bageshwar"/>
        <s v="Haridwar"/>
        <s v="Hosiarpur"/>
        <s v="Muzaffarnagar"/>
        <s v="Rudurpur"/>
        <s v="Tanakpur"/>
      </sharedItems>
    </cacheField>
    <cacheField name="INVOICE NUMBER" numFmtId="0">
      <sharedItems containsMixedTypes="1" containsNumber="1" containsInteger="1" minValue="716286824" maxValue="718286822"/>
    </cacheField>
    <cacheField name="LR. NO." numFmtId="0">
      <sharedItems containsSemiMixedTypes="0" containsString="0" containsNumber="1" containsInteger="1" minValue="1301" maxValue="1578" count="219">
        <n v="1301"/>
        <n v="1302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4"/>
        <n v="1495"/>
        <n v="1496"/>
        <n v="1497"/>
        <n v="1498"/>
        <n v="1499"/>
        <n v="1500"/>
        <n v="1362"/>
        <n v="1363"/>
        <n v="1364"/>
        <n v="1365"/>
        <n v="1366"/>
        <n v="1367"/>
        <n v="1368"/>
        <n v="1370"/>
        <n v="1393"/>
        <n v="1369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4"/>
        <n v="1395"/>
        <n v="1303"/>
        <n v="1493"/>
        <n v="1304"/>
        <n v="1396"/>
        <n v="1397"/>
        <n v="1398"/>
        <n v="1399"/>
        <n v="140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76"/>
        <n v="1577"/>
        <n v="1578"/>
      </sharedItems>
    </cacheField>
    <cacheField name="LR DATE" numFmtId="14">
      <sharedItems containsSemiMixedTypes="0" containsNonDate="0" containsDate="1" containsString="0" minDate="2026-07-31T00:00:00" maxDate="2026-09-01T00:00:00"/>
    </cacheField>
    <cacheField name="MATERIAL DETAILS" numFmtId="0">
      <sharedItems/>
    </cacheField>
    <cacheField name="TRANSPOTER NAME" numFmtId="0">
      <sharedItems/>
    </cacheField>
    <cacheField name="Bucket" numFmtId="0">
      <sharedItems containsSemiMixedTypes="0" containsString="0" containsNumber="1" containsInteger="1" minValue="1" maxValue="300"/>
    </cacheField>
    <cacheField name="TOTAL QUANTITY IN LTRS" numFmtId="0">
      <sharedItems containsSemiMixedTypes="0" containsString="0" containsNumber="1" containsInteger="1" minValue="1" maxValue="6000"/>
    </cacheField>
    <cacheField name="LOAD TYPE FTL/PTL" numFmtId="0">
      <sharedItems/>
    </cacheField>
    <cacheField name="EXPECTED DELIVERY DATE" numFmtId="0">
      <sharedItems containsNonDate="0" containsDate="1" containsString="0" containsBlank="1" minDate="2026-08-01T00:00:00" maxDate="2026-08-16T00:00:00"/>
    </cacheField>
    <cacheField name="VEHICLE REPORTED DATE AT UNLOADING POINT" numFmtId="0">
      <sharedItems containsNonDate="0" containsDate="1" containsString="0" containsBlank="1" minDate="2026-08-01T00:00:00" maxDate="2026-08-16T00:00:00"/>
    </cacheField>
    <cacheField name="ACTUAL DELIVERY DATE" numFmtId="0">
      <sharedItems containsNonDate="0" containsDate="1" containsString="0" containsBlank="1" minDate="2026-08-01T00:00:00" maxDate="2026-08-14T00:00:00"/>
    </cacheField>
    <cacheField name="DELIVERY STATUS" numFmtId="0">
      <sharedItems/>
    </cacheField>
    <cacheField name="LR STATUS" numFmtId="0">
      <sharedItems/>
    </cacheField>
    <cacheField name="DAMAGE" numFmtId="0">
      <sharedItems/>
    </cacheField>
    <cacheField name="LOADING CHARGES" numFmtId="0">
      <sharedItems containsNonDate="0" containsString="0" containsBlank="1"/>
    </cacheField>
    <cacheField name="UNLOADING CHARGES" numFmtId="0">
      <sharedItems containsNonDate="0" containsString="0" containsBlank="1"/>
    </cacheField>
    <cacheField name="VEHICLE NUMBER" numFmtId="0">
      <sharedItems/>
    </cacheField>
    <cacheField name="VEHICLE TYPE" numFmtId="0">
      <sharedItems containsSemiMixedTypes="0" containsString="0" containsNumber="1" containsInteger="1" minValue="709" maxValue="709"/>
    </cacheField>
    <cacheField name="PLY" numFmtId="0">
      <sharedItems containsSemiMixedTypes="0" containsString="0" containsNumber="1" containsInteger="1" minValue="0" maxValue="0"/>
    </cacheField>
    <cacheField name="Remarsk" numFmtId="0">
      <sharedItems/>
    </cacheField>
    <cacheField name="Remarks 1" numFmtId="0">
      <sharedItems count="2">
        <s v="Dispatch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1"/>
    <s v="Sonipat"/>
    <x v="0"/>
    <x v="0"/>
    <s v="SONGOG26/22337"/>
    <x v="0"/>
    <d v="2026-08-07T00:00:00"/>
    <s v="TATA Genius DEF (4*5) - PVBU"/>
    <s v="Drona Logitech"/>
    <n v="6"/>
    <n v="120"/>
    <s v="PTL"/>
    <d v="2026-08-12T00:00:00"/>
    <d v="2026-08-12T00:00:00"/>
    <d v="2026-08-13T00:00:00"/>
    <s v="Delivered"/>
    <s v="To be Billed"/>
    <s v="No"/>
    <m/>
    <m/>
    <s v="HR69G3673"/>
    <n v="709"/>
    <n v="0"/>
    <s v="Dispatch"/>
    <x v="0"/>
  </r>
  <r>
    <n v="2"/>
    <s v="Sonipat"/>
    <x v="1"/>
    <x v="0"/>
    <s v="SONGOG26/22338"/>
    <x v="1"/>
    <d v="2026-08-07T00:00:00"/>
    <s v="TATA Genius DEF (4*5) - PVBU"/>
    <s v="Drona Logitech"/>
    <n v="15"/>
    <n v="300"/>
    <s v="PTL"/>
    <d v="2026-08-12T00:00:00"/>
    <d v="2026-08-12T00:00:00"/>
    <d v="2026-08-13T00:00:00"/>
    <s v="Delivered"/>
    <s v="To be Billed"/>
    <s v="No"/>
    <m/>
    <m/>
    <s v="HR69G3673"/>
    <n v="709"/>
    <n v="0"/>
    <s v="Dispatch"/>
    <x v="0"/>
  </r>
  <r>
    <n v="3"/>
    <s v="Sonipat"/>
    <x v="2"/>
    <x v="0"/>
    <s v="SONGOG26/22333"/>
    <x v="2"/>
    <d v="2026-08-07T00:00:00"/>
    <s v="TATA Genius DEF (4*5) - PVBU"/>
    <s v="Drona Logitech"/>
    <n v="9"/>
    <n v="180"/>
    <s v="PTL"/>
    <d v="2026-08-12T00:00:00"/>
    <d v="2026-08-12T00:00:00"/>
    <d v="2026-08-13T00:00:00"/>
    <s v="Delivered"/>
    <s v="To be Billed"/>
    <s v="No"/>
    <m/>
    <m/>
    <s v="HR69D3675"/>
    <n v="709"/>
    <n v="0"/>
    <s v="Dispatch"/>
    <x v="0"/>
  </r>
  <r>
    <n v="4"/>
    <s v="Sonipat"/>
    <x v="2"/>
    <x v="0"/>
    <s v="SONGOG26/22334"/>
    <x v="3"/>
    <d v="2026-08-07T00:00:00"/>
    <s v="TATA Genius DEF (6*2) - PVBU"/>
    <s v="Drona Logitech"/>
    <n v="4"/>
    <n v="48"/>
    <s v="PTL"/>
    <d v="2026-08-12T00:00:00"/>
    <d v="2026-08-12T00:00:00"/>
    <d v="2026-08-13T00:00:00"/>
    <s v="Delivered"/>
    <s v="To be Billed"/>
    <s v="No"/>
    <m/>
    <m/>
    <s v="HR69D3675"/>
    <n v="709"/>
    <n v="0"/>
    <s v="Dispatch"/>
    <x v="0"/>
  </r>
  <r>
    <n v="5"/>
    <s v="Sonipat"/>
    <x v="3"/>
    <x v="1"/>
    <s v="SONGOG26/22335"/>
    <x v="4"/>
    <d v="2026-08-07T00:00:00"/>
    <s v="TATA Genius DEF (4*5) - PVBU"/>
    <s v="Drona Logitech"/>
    <n v="6"/>
    <n v="120"/>
    <s v="PTL"/>
    <m/>
    <m/>
    <m/>
    <s v="Pending"/>
    <s v="To be Billed"/>
    <s v="No"/>
    <m/>
    <m/>
    <s v="HR69D3675"/>
    <n v="709"/>
    <n v="0"/>
    <s v="Pending"/>
    <x v="1"/>
  </r>
  <r>
    <n v="6"/>
    <s v="Sonipat"/>
    <x v="4"/>
    <x v="2"/>
    <s v="SONGOG26/22340"/>
    <x v="5"/>
    <d v="2026-08-07T00:00:00"/>
    <s v="TATA Genius DEF (1*10) - PVBU"/>
    <s v="Drona Logitech"/>
    <n v="20"/>
    <n v="200"/>
    <s v="PTL"/>
    <m/>
    <m/>
    <m/>
    <s v="Pending"/>
    <s v="To be Billed"/>
    <s v="No"/>
    <m/>
    <m/>
    <s v="HR69D3675"/>
    <n v="709"/>
    <n v="0"/>
    <s v="Pending"/>
    <x v="1"/>
  </r>
  <r>
    <n v="7"/>
    <s v="Sonipat"/>
    <x v="4"/>
    <x v="2"/>
    <s v="SONGOG26/22341"/>
    <x v="6"/>
    <d v="2026-08-07T00:00:00"/>
    <s v="TATA Genius DEF (4*5) - PVBU"/>
    <s v="Drona Logitech"/>
    <n v="3"/>
    <n v="60"/>
    <s v="PTL"/>
    <m/>
    <m/>
    <m/>
    <s v="Pending"/>
    <s v="To be Billed"/>
    <s v="No"/>
    <m/>
    <m/>
    <s v="HR69D3675"/>
    <n v="709"/>
    <n v="0"/>
    <s v="Pending"/>
    <x v="1"/>
  </r>
  <r>
    <n v="8"/>
    <s v="Sonipat"/>
    <x v="5"/>
    <x v="3"/>
    <s v="SONGOG26/22342"/>
    <x v="7"/>
    <d v="2026-08-07T00:00:00"/>
    <s v="TATA Genius DEF (1*10) - PVBU"/>
    <s v="Drona Logitech"/>
    <n v="30"/>
    <n v="300"/>
    <s v="PTL"/>
    <m/>
    <m/>
    <m/>
    <s v="Pending"/>
    <s v="To be Billed"/>
    <s v="No"/>
    <m/>
    <m/>
    <s v="HR69D3675"/>
    <n v="709"/>
    <n v="0"/>
    <s v="Pending"/>
    <x v="1"/>
  </r>
  <r>
    <n v="9"/>
    <s v="Sonipat"/>
    <x v="6"/>
    <x v="4"/>
    <s v="SONGOG26/22343"/>
    <x v="8"/>
    <d v="2026-08-07T00:00:00"/>
    <s v="TATA Genius DEF (1*10) - PVBU"/>
    <s v="Drona Logitech"/>
    <n v="5"/>
    <n v="50"/>
    <s v="PTL"/>
    <m/>
    <m/>
    <m/>
    <s v="Pending"/>
    <s v="To be Billed"/>
    <s v="No"/>
    <m/>
    <m/>
    <s v="HR69D3675"/>
    <n v="709"/>
    <n v="0"/>
    <s v="Pending"/>
    <x v="1"/>
  </r>
  <r>
    <n v="10"/>
    <s v="Sonipat"/>
    <x v="7"/>
    <x v="5"/>
    <s v="SONGOG26/22344"/>
    <x v="9"/>
    <d v="2026-08-07T00:00:00"/>
    <s v="TATA Genius DEF (4*5) - PVBU"/>
    <s v="Drona Logitech"/>
    <n v="36"/>
    <n v="720"/>
    <s v="PTL"/>
    <m/>
    <m/>
    <m/>
    <s v="Pending"/>
    <s v="To be Billed"/>
    <s v="No"/>
    <m/>
    <m/>
    <s v="HR69D3675"/>
    <n v="709"/>
    <n v="0"/>
    <s v="Pending"/>
    <x v="1"/>
  </r>
  <r>
    <n v="11"/>
    <s v="Sonipat"/>
    <x v="8"/>
    <x v="6"/>
    <s v="SONGOG26/22345"/>
    <x v="10"/>
    <d v="2026-08-07T00:00:00"/>
    <s v="TATA Genius DEF (1*10) - PVBU"/>
    <s v="Drona Logitech"/>
    <n v="25"/>
    <n v="250"/>
    <s v="PTL"/>
    <d v="2026-08-13T00:00:00"/>
    <d v="2026-08-14T00:00:00"/>
    <m/>
    <s v="In transit"/>
    <s v="To be Billed"/>
    <s v="No"/>
    <m/>
    <m/>
    <s v="HR69D3675"/>
    <n v="709"/>
    <n v="0"/>
    <s v="Pending"/>
    <x v="1"/>
  </r>
  <r>
    <n v="12"/>
    <s v="Sonipat"/>
    <x v="9"/>
    <x v="7"/>
    <s v="SONGOG26/22349"/>
    <x v="11"/>
    <d v="2026-08-07T00:00:00"/>
    <s v="TATA Genius DEF (4*5) - PVBU"/>
    <s v="Drona Logitech"/>
    <n v="12"/>
    <n v="240"/>
    <s v="PTL"/>
    <m/>
    <m/>
    <m/>
    <s v="Pending"/>
    <s v="To be Billed"/>
    <s v="No"/>
    <m/>
    <m/>
    <s v="HR69D3675"/>
    <n v="709"/>
    <n v="0"/>
    <s v="Pending"/>
    <x v="1"/>
  </r>
  <r>
    <n v="13"/>
    <s v="Sonipat"/>
    <x v="10"/>
    <x v="8"/>
    <s v="SONGOG26/22350"/>
    <x v="12"/>
    <d v="2026-08-07T00:00:00"/>
    <s v="TATA Genius DEF (4*5) - PVBU"/>
    <s v="Drona Logitech"/>
    <n v="6"/>
    <n v="120"/>
    <s v="PTL"/>
    <d v="2026-08-15T00:00:00"/>
    <d v="2026-08-15T00:00:00"/>
    <m/>
    <s v="In transit"/>
    <s v="To be Billed"/>
    <s v="No"/>
    <m/>
    <m/>
    <s v="HR69D3675"/>
    <n v="709"/>
    <n v="0"/>
    <s v="Pending"/>
    <x v="0"/>
  </r>
  <r>
    <n v="14"/>
    <s v="Sonipat"/>
    <x v="10"/>
    <x v="8"/>
    <s v="SONGOG26/22351"/>
    <x v="13"/>
    <d v="2026-08-07T00:00:00"/>
    <s v="TATA Genius DEF (1*10) - PVBU"/>
    <s v="Drona Logitech"/>
    <n v="10"/>
    <n v="100"/>
    <s v="PTL"/>
    <d v="2026-08-15T00:00:00"/>
    <d v="2026-08-15T00:00:00"/>
    <m/>
    <s v="In transit"/>
    <s v="To be Billed"/>
    <s v="No"/>
    <m/>
    <m/>
    <s v="HR69D3675"/>
    <n v="709"/>
    <n v="0"/>
    <s v="Pending"/>
    <x v="0"/>
  </r>
  <r>
    <n v="15"/>
    <s v="Sonipat"/>
    <x v="10"/>
    <x v="8"/>
    <s v="SONGOG26/22352"/>
    <x v="14"/>
    <d v="2026-08-07T00:00:00"/>
    <s v="TATA Genius DEF (6*2) - PVBU"/>
    <s v="Drona Logitech"/>
    <n v="4"/>
    <n v="48"/>
    <s v="PTL"/>
    <d v="2026-08-15T00:00:00"/>
    <d v="2026-08-15T00:00:00"/>
    <m/>
    <s v="In transit"/>
    <s v="To be Billed"/>
    <s v="No"/>
    <m/>
    <m/>
    <s v="HR69D3675"/>
    <n v="709"/>
    <n v="0"/>
    <s v="Pending"/>
    <x v="0"/>
  </r>
  <r>
    <n v="16"/>
    <s v="Sonipat"/>
    <x v="11"/>
    <x v="9"/>
    <s v="SONGOG26/22353"/>
    <x v="15"/>
    <d v="2026-08-07T00:00:00"/>
    <s v="TATA Genius DEF (1*10) - PVBU"/>
    <s v="Drona Logitech"/>
    <n v="30"/>
    <n v="300"/>
    <s v="PTL"/>
    <m/>
    <m/>
    <m/>
    <s v="Pending"/>
    <s v="To be Billed"/>
    <s v="No"/>
    <m/>
    <m/>
    <s v="HR69D3675"/>
    <n v="709"/>
    <n v="0"/>
    <s v="Hold due to Kawad"/>
    <x v="1"/>
  </r>
  <r>
    <n v="17"/>
    <s v="Sonipat"/>
    <x v="11"/>
    <x v="9"/>
    <s v="SONGOG26/22354"/>
    <x v="16"/>
    <d v="2026-08-07T00:00:00"/>
    <s v="TATA Genius DEF (4*5) - PVBU"/>
    <s v="Drona Logitech"/>
    <n v="6"/>
    <n v="120"/>
    <s v="PTL"/>
    <m/>
    <m/>
    <m/>
    <s v="Pending"/>
    <s v="To be Billed"/>
    <s v="No"/>
    <m/>
    <m/>
    <s v="HR69D3675"/>
    <n v="709"/>
    <n v="0"/>
    <s v="Hold due to Kawad"/>
    <x v="1"/>
  </r>
  <r>
    <n v="18"/>
    <s v="Sonipat"/>
    <x v="11"/>
    <x v="9"/>
    <s v="SONGOG26/22355"/>
    <x v="17"/>
    <d v="2026-08-07T00:00:00"/>
    <s v="TATA Genius DEF (6*2) - PVBU"/>
    <s v="Drona Logitech"/>
    <n v="4"/>
    <n v="48"/>
    <s v="PTL"/>
    <m/>
    <m/>
    <m/>
    <s v="Pending"/>
    <s v="To be Billed"/>
    <s v="No"/>
    <m/>
    <m/>
    <s v="HR69D3675"/>
    <n v="709"/>
    <n v="0"/>
    <s v="Hold due to Kawad"/>
    <x v="1"/>
  </r>
  <r>
    <n v="19"/>
    <s v="Sonipat"/>
    <x v="12"/>
    <x v="10"/>
    <s v="SONGOG26/22356"/>
    <x v="18"/>
    <d v="2026-08-07T00:00:00"/>
    <s v="TATA Genius DEF (6*2) - PVBU"/>
    <s v="Drona Logitech"/>
    <n v="20"/>
    <n v="240"/>
    <s v="PTL"/>
    <m/>
    <m/>
    <m/>
    <s v="Pending"/>
    <s v="To be Billed"/>
    <s v="No"/>
    <m/>
    <m/>
    <s v="HR69D3675"/>
    <n v="709"/>
    <n v="0"/>
    <s v="Pending"/>
    <x v="1"/>
  </r>
  <r>
    <n v="20"/>
    <s v="Sonipat"/>
    <x v="12"/>
    <x v="10"/>
    <s v="SONGOG26/22357"/>
    <x v="19"/>
    <d v="2026-08-07T00:00:00"/>
    <s v="TATA Genius DEF (4*5) - PVBU"/>
    <s v="Drona Logitech"/>
    <n v="24"/>
    <n v="480"/>
    <s v="PTL"/>
    <m/>
    <m/>
    <m/>
    <s v="Pending"/>
    <s v="To be Billed"/>
    <s v="No"/>
    <m/>
    <m/>
    <s v="HR69D3675"/>
    <n v="709"/>
    <n v="0"/>
    <s v="Pending"/>
    <x v="1"/>
  </r>
  <r>
    <n v="21"/>
    <s v="Sonipat"/>
    <x v="13"/>
    <x v="11"/>
    <s v="SONGOG26/22358"/>
    <x v="20"/>
    <d v="2026-08-07T00:00:00"/>
    <s v="TATA Genius DEF (1*10) - PVBU"/>
    <s v="Drona Logitech"/>
    <n v="30"/>
    <n v="300"/>
    <s v="PTL"/>
    <m/>
    <m/>
    <m/>
    <s v="Pending"/>
    <s v="To be Billed"/>
    <s v="No"/>
    <m/>
    <m/>
    <s v="HR69D3675"/>
    <n v="709"/>
    <n v="0"/>
    <s v="Pending"/>
    <x v="1"/>
  </r>
  <r>
    <n v="22"/>
    <s v="Sonipat"/>
    <x v="13"/>
    <x v="11"/>
    <s v="SONGOG26/22359"/>
    <x v="21"/>
    <d v="2026-08-07T00:00:00"/>
    <s v="TATA Genius DEF (4*5) - PVBU"/>
    <s v="Drona Logitech"/>
    <n v="6"/>
    <n v="120"/>
    <s v="PTL"/>
    <m/>
    <m/>
    <m/>
    <s v="Pending"/>
    <s v="To be Billed"/>
    <s v="No"/>
    <m/>
    <m/>
    <s v="HR69D3675"/>
    <n v="709"/>
    <n v="0"/>
    <s v="Pending"/>
    <x v="1"/>
  </r>
  <r>
    <n v="23"/>
    <s v="Sonipat"/>
    <x v="14"/>
    <x v="12"/>
    <s v="SONGOG26/22361"/>
    <x v="22"/>
    <d v="2026-08-07T00:00:00"/>
    <s v="TATA Genius DEF (4*5) - PVBU"/>
    <s v="Drona Logitech"/>
    <n v="6"/>
    <n v="120"/>
    <s v="PTL"/>
    <m/>
    <m/>
    <m/>
    <s v="Pending"/>
    <s v="To be Billed"/>
    <s v="No"/>
    <m/>
    <m/>
    <s v="HR69D3675"/>
    <n v="709"/>
    <n v="0"/>
    <s v="Pending"/>
    <x v="1"/>
  </r>
  <r>
    <n v="24"/>
    <s v="Sonipat"/>
    <x v="14"/>
    <x v="12"/>
    <s v="SONGOG26/22360"/>
    <x v="23"/>
    <d v="2026-08-07T00:00:00"/>
    <s v="TATA Genius DEF (1*10) - PVBU"/>
    <s v="Drona Logitech"/>
    <n v="15"/>
    <n v="150"/>
    <s v="PTL"/>
    <m/>
    <m/>
    <m/>
    <s v="Pending"/>
    <s v="To be Billed"/>
    <s v="No"/>
    <m/>
    <m/>
    <s v="HR69D3675"/>
    <n v="709"/>
    <n v="0"/>
    <s v="Pending"/>
    <x v="1"/>
  </r>
  <r>
    <n v="25"/>
    <s v="Sonipat"/>
    <x v="15"/>
    <x v="13"/>
    <s v="SONGOG26/22363"/>
    <x v="24"/>
    <d v="2026-08-07T00:00:00"/>
    <s v="TATA Genius DEF (4*5) - PVBU"/>
    <s v="Drona Logitech"/>
    <n v="12"/>
    <n v="240"/>
    <s v="PTL"/>
    <m/>
    <m/>
    <m/>
    <s v="Pending"/>
    <s v="To be Billed"/>
    <s v="No"/>
    <m/>
    <m/>
    <s v="HR69D3675"/>
    <n v="709"/>
    <n v="0"/>
    <s v="Pending"/>
    <x v="1"/>
  </r>
  <r>
    <n v="26"/>
    <s v="Sonipat"/>
    <x v="16"/>
    <x v="14"/>
    <s v="SONGOG26/22364"/>
    <x v="25"/>
    <d v="2026-08-07T00:00:00"/>
    <s v="TATA Genius DEF (4*5) - PVBU"/>
    <s v="Drona Logitech"/>
    <n v="9"/>
    <n v="180"/>
    <s v="PTL"/>
    <d v="2026-08-11T00:00:00"/>
    <d v="2026-08-10T00:00:00"/>
    <d v="2026-08-10T00:00:00"/>
    <s v="Delivered"/>
    <s v="To be Billed"/>
    <s v="No"/>
    <m/>
    <m/>
    <s v="HR69D3675"/>
    <n v="709"/>
    <n v="0"/>
    <s v="Dispatch"/>
    <x v="0"/>
  </r>
  <r>
    <n v="27"/>
    <s v="Sonipat"/>
    <x v="16"/>
    <x v="14"/>
    <s v="SONGOG26/22365"/>
    <x v="26"/>
    <d v="2026-08-07T00:00:00"/>
    <s v="TATA Genius DEF (6*2) - PVBU"/>
    <s v="Drona Logitech"/>
    <n v="4"/>
    <n v="48"/>
    <s v="PTL"/>
    <d v="2026-08-12T00:00:00"/>
    <d v="2026-08-12T00:00:00"/>
    <m/>
    <s v="In transit"/>
    <s v="To be Billed"/>
    <s v="No"/>
    <m/>
    <m/>
    <s v="HR69D3675"/>
    <n v="709"/>
    <n v="0"/>
    <s v="Dispatch"/>
    <x v="0"/>
  </r>
  <r>
    <n v="28"/>
    <s v="Sonipat"/>
    <x v="17"/>
    <x v="15"/>
    <s v="SONGOG26/22366"/>
    <x v="27"/>
    <d v="2026-08-07T00:00:00"/>
    <s v="TATA Genius DEF (4*5) - PVBU"/>
    <s v="Drona Logitech"/>
    <n v="3"/>
    <n v="60"/>
    <s v="PTL"/>
    <m/>
    <m/>
    <m/>
    <s v="Pending"/>
    <s v="To be Billed"/>
    <s v="No"/>
    <m/>
    <m/>
    <s v="HR69D3675"/>
    <n v="709"/>
    <n v="0"/>
    <s v="Pending"/>
    <x v="1"/>
  </r>
  <r>
    <n v="29"/>
    <s v="Sonipat"/>
    <x v="17"/>
    <x v="15"/>
    <s v="SONGOG26/22367"/>
    <x v="28"/>
    <d v="2026-08-07T00:00:00"/>
    <s v="TATA Genius DEF (1*10) - PVBU"/>
    <s v="Drona Logitech"/>
    <n v="5"/>
    <n v="50"/>
    <s v="PTL"/>
    <m/>
    <m/>
    <m/>
    <s v="Pending"/>
    <s v="To be Billed"/>
    <s v="No"/>
    <m/>
    <m/>
    <s v="HR69D3675"/>
    <n v="709"/>
    <n v="0"/>
    <s v="Pending"/>
    <x v="1"/>
  </r>
  <r>
    <n v="30"/>
    <s v="Sonipat"/>
    <x v="18"/>
    <x v="8"/>
    <s v="SONGOG26/22368"/>
    <x v="29"/>
    <d v="2026-08-07T00:00:00"/>
    <s v="TATA Genius DEF (1*10) - PVBU"/>
    <s v="Drona Logitech"/>
    <n v="10"/>
    <n v="100"/>
    <s v="PTL"/>
    <m/>
    <m/>
    <m/>
    <s v="Pending"/>
    <s v="To be Billed"/>
    <s v="No"/>
    <m/>
    <m/>
    <s v="HR69D3675"/>
    <n v="709"/>
    <n v="0"/>
    <s v="Pending"/>
    <x v="1"/>
  </r>
  <r>
    <n v="31"/>
    <s v="Sonipat"/>
    <x v="19"/>
    <x v="16"/>
    <s v="SONGOG26/22369"/>
    <x v="30"/>
    <d v="2026-08-07T00:00:00"/>
    <s v="TATA Genius DEF (4*5) - PVBU"/>
    <s v="Drona Logitech"/>
    <n v="6"/>
    <n v="120"/>
    <s v="PTL"/>
    <m/>
    <m/>
    <m/>
    <s v="Pending"/>
    <s v="To be Billed"/>
    <s v="No"/>
    <m/>
    <m/>
    <s v="HR69D3675"/>
    <n v="709"/>
    <n v="0"/>
    <s v="Pending"/>
    <x v="1"/>
  </r>
  <r>
    <n v="32"/>
    <s v="Sonipat"/>
    <x v="19"/>
    <x v="16"/>
    <s v="SONGOG26/22370"/>
    <x v="31"/>
    <d v="2026-08-07T00:00:00"/>
    <s v="TATA Genius DEF (1*10) - PVBU"/>
    <s v="Drona Logitech"/>
    <n v="30"/>
    <n v="300"/>
    <s v="PTL"/>
    <m/>
    <m/>
    <m/>
    <s v="Pending"/>
    <s v="To be Billed"/>
    <s v="No"/>
    <m/>
    <m/>
    <s v="HR69D3675"/>
    <n v="709"/>
    <n v="0"/>
    <s v="Pending"/>
    <x v="1"/>
  </r>
  <r>
    <n v="33"/>
    <s v="Sonipat"/>
    <x v="19"/>
    <x v="16"/>
    <s v="SONGOG26/22371"/>
    <x v="32"/>
    <d v="2026-08-07T00:00:00"/>
    <s v="TATA Genius DEF (6*2) - PVBU"/>
    <s v="Drona Logitech"/>
    <n v="4"/>
    <n v="48"/>
    <s v="PTL"/>
    <m/>
    <m/>
    <m/>
    <s v="Pending"/>
    <s v="To be Billed"/>
    <s v="No"/>
    <m/>
    <m/>
    <s v="HR69D3675"/>
    <n v="709"/>
    <n v="0"/>
    <s v="Pending"/>
    <x v="1"/>
  </r>
  <r>
    <n v="34"/>
    <s v="Sonipat"/>
    <x v="20"/>
    <x v="17"/>
    <s v="SONGOG26/22375"/>
    <x v="33"/>
    <d v="2026-08-07T00:00:00"/>
    <s v="TATA Genius DEF (1*10) - PVBU"/>
    <s v="Drona Logitech"/>
    <n v="10"/>
    <n v="100"/>
    <s v="PTL"/>
    <m/>
    <m/>
    <m/>
    <s v="Pending"/>
    <s v="To be Billed"/>
    <s v="No"/>
    <m/>
    <m/>
    <s v="HR69D3675"/>
    <n v="709"/>
    <n v="0"/>
    <s v="Pending"/>
    <x v="1"/>
  </r>
  <r>
    <n v="35"/>
    <s v="Sonipat"/>
    <x v="20"/>
    <x v="17"/>
    <s v="SONGOG26/22376"/>
    <x v="34"/>
    <d v="2026-08-07T00:00:00"/>
    <s v="TATA Genius DEF (6*2) - PVBU"/>
    <s v="Drona Logitech"/>
    <n v="4"/>
    <n v="48"/>
    <s v="PTL"/>
    <m/>
    <m/>
    <m/>
    <s v="Pending"/>
    <s v="To be Billed"/>
    <s v="No"/>
    <m/>
    <m/>
    <s v="HR69D3675"/>
    <n v="709"/>
    <n v="0"/>
    <s v="Pending"/>
    <x v="1"/>
  </r>
  <r>
    <n v="36"/>
    <s v="Sonipat"/>
    <x v="21"/>
    <x v="15"/>
    <s v="SONGOG26/22377"/>
    <x v="35"/>
    <d v="2026-08-07T00:00:00"/>
    <s v="TATA Genius DEF (1*10) - PVBU"/>
    <s v="Drona Logitech"/>
    <n v="35"/>
    <n v="350"/>
    <s v="PTL"/>
    <m/>
    <m/>
    <m/>
    <s v="Pending"/>
    <s v="To be Billed"/>
    <s v="No"/>
    <m/>
    <m/>
    <s v="HR69D3675"/>
    <n v="709"/>
    <n v="0"/>
    <s v="Pending"/>
    <x v="1"/>
  </r>
  <r>
    <n v="37"/>
    <s v="Sonipat"/>
    <x v="22"/>
    <x v="8"/>
    <s v="SONGOG26/22378"/>
    <x v="36"/>
    <d v="2026-08-07T00:00:00"/>
    <s v="TATA Genius DEF (6*2) - PVBU"/>
    <s v="Drona Logitech"/>
    <n v="4"/>
    <n v="48"/>
    <s v="PTL"/>
    <m/>
    <m/>
    <m/>
    <s v="Pending"/>
    <s v="To be Billed"/>
    <s v="No"/>
    <m/>
    <m/>
    <s v="HR69D3675"/>
    <n v="709"/>
    <n v="0"/>
    <s v="Pending"/>
    <x v="1"/>
  </r>
  <r>
    <n v="38"/>
    <s v="Sonipat"/>
    <x v="22"/>
    <x v="8"/>
    <s v="SONGOG26/22379"/>
    <x v="37"/>
    <d v="2026-08-07T00:00:00"/>
    <s v="TATA Genius DEF (4*5) - PVBU"/>
    <s v="Drona Logitech"/>
    <n v="3"/>
    <n v="60"/>
    <s v="PTL"/>
    <m/>
    <m/>
    <m/>
    <s v="Pending"/>
    <s v="To be Billed"/>
    <s v="No"/>
    <m/>
    <m/>
    <s v="HR69D3675"/>
    <n v="709"/>
    <n v="0"/>
    <s v="Pending"/>
    <x v="1"/>
  </r>
  <r>
    <n v="39"/>
    <s v="Sonipat"/>
    <x v="22"/>
    <x v="8"/>
    <s v="SONGOG26/22380"/>
    <x v="38"/>
    <d v="2026-08-07T00:00:00"/>
    <s v="TATA Genius DEF (1*10) - PVBU"/>
    <s v="Drona Logitech"/>
    <n v="5"/>
    <n v="50"/>
    <s v="PTL"/>
    <m/>
    <m/>
    <m/>
    <s v="Pending"/>
    <s v="To be Billed"/>
    <s v="No"/>
    <m/>
    <m/>
    <s v="HR69D3675"/>
    <n v="709"/>
    <n v="0"/>
    <s v="Pending"/>
    <x v="1"/>
  </r>
  <r>
    <n v="40"/>
    <s v="Sonipat"/>
    <x v="23"/>
    <x v="8"/>
    <s v="SONGOG26/22381"/>
    <x v="39"/>
    <d v="2026-08-07T00:00:00"/>
    <s v="TATA Genius DEF (1*10) - PVBU"/>
    <s v="Drona Logitech"/>
    <n v="20"/>
    <n v="200"/>
    <s v="PTL"/>
    <m/>
    <m/>
    <m/>
    <s v="Pending"/>
    <s v="To be Billed"/>
    <s v="No"/>
    <m/>
    <m/>
    <s v="HR69D3675"/>
    <n v="709"/>
    <n v="0"/>
    <s v="Pending"/>
    <x v="1"/>
  </r>
  <r>
    <n v="41"/>
    <s v="Sonipat"/>
    <x v="24"/>
    <x v="18"/>
    <s v="SONGOG26/22382"/>
    <x v="40"/>
    <d v="2026-08-07T00:00:00"/>
    <s v="TATA Genius DEF (1*10) - PVBU"/>
    <s v="Drona Logitech"/>
    <n v="15"/>
    <n v="150"/>
    <s v="PTL"/>
    <m/>
    <m/>
    <m/>
    <s v="Pending"/>
    <s v="To be Billed"/>
    <s v="No"/>
    <m/>
    <m/>
    <s v="HR69D3675"/>
    <n v="709"/>
    <n v="0"/>
    <s v="Pending"/>
    <x v="1"/>
  </r>
  <r>
    <n v="42"/>
    <s v="Sonipat"/>
    <x v="25"/>
    <x v="9"/>
    <s v="SONGOG26/22384"/>
    <x v="41"/>
    <d v="2026-08-08T00:00:00"/>
    <s v="TATA Genius DEF (6*2) - PVBU"/>
    <s v="Drona Logitech"/>
    <n v="4"/>
    <n v="48"/>
    <s v="PTL"/>
    <m/>
    <m/>
    <m/>
    <s v="Pending"/>
    <s v="To be Billed"/>
    <s v="No"/>
    <m/>
    <m/>
    <s v="HR55AP1830"/>
    <n v="709"/>
    <n v="0"/>
    <s v="Hold due to Kawad"/>
    <x v="1"/>
  </r>
  <r>
    <n v="43"/>
    <s v="Sonipat"/>
    <x v="25"/>
    <x v="9"/>
    <s v="SONGOG26/22385"/>
    <x v="42"/>
    <d v="2026-08-08T00:00:00"/>
    <s v="TATA Genius DEF (4*5) - PVBU"/>
    <s v="Drona Logitech"/>
    <n v="15"/>
    <n v="300"/>
    <s v="PTL"/>
    <m/>
    <m/>
    <m/>
    <s v="Pending"/>
    <s v="To be Billed"/>
    <s v="No"/>
    <m/>
    <m/>
    <s v="HR55AP1830"/>
    <n v="709"/>
    <n v="0"/>
    <s v="Hold due to Kawad"/>
    <x v="1"/>
  </r>
  <r>
    <n v="44"/>
    <s v="Sonipat"/>
    <x v="25"/>
    <x v="9"/>
    <s v="SONGOG26/22386"/>
    <x v="43"/>
    <d v="2026-08-08T00:00:00"/>
    <s v="TATA Genius DEF (1*10) - PVBU"/>
    <s v="Drona Logitech"/>
    <n v="20"/>
    <n v="200"/>
    <s v="PTL"/>
    <m/>
    <m/>
    <m/>
    <s v="Pending"/>
    <s v="To be Billed"/>
    <s v="No"/>
    <m/>
    <m/>
    <s v="HR55AP1830"/>
    <n v="709"/>
    <n v="0"/>
    <s v="Hold due to Kawad"/>
    <x v="1"/>
  </r>
  <r>
    <n v="45"/>
    <s v="Sonipat"/>
    <x v="26"/>
    <x v="10"/>
    <s v="SONGOG26/22387"/>
    <x v="44"/>
    <d v="2026-08-08T00:00:00"/>
    <s v="TATA Genius DEF (6*2) - PVBU"/>
    <s v="Drona Logitech"/>
    <n v="28"/>
    <n v="336"/>
    <s v="PTL"/>
    <m/>
    <m/>
    <m/>
    <s v="Pending"/>
    <s v="To be Billed"/>
    <s v="No"/>
    <m/>
    <m/>
    <s v="HR55AP1830"/>
    <n v="709"/>
    <n v="0"/>
    <s v="Pending"/>
    <x v="1"/>
  </r>
  <r>
    <n v="46"/>
    <s v="Sonipat"/>
    <x v="26"/>
    <x v="10"/>
    <s v="SONGOG26/22388"/>
    <x v="45"/>
    <d v="2026-08-08T00:00:00"/>
    <s v="TATA Genius DEF (4*5) - PVBU"/>
    <s v="Drona Logitech"/>
    <n v="33"/>
    <n v="660"/>
    <s v="PTL"/>
    <m/>
    <m/>
    <m/>
    <s v="Pending"/>
    <s v="To be Billed"/>
    <s v="No"/>
    <m/>
    <m/>
    <s v="HR55AP1830"/>
    <n v="709"/>
    <n v="0"/>
    <s v="Pending"/>
    <x v="1"/>
  </r>
  <r>
    <n v="47"/>
    <s v="Sonipat"/>
    <x v="27"/>
    <x v="19"/>
    <s v="SONGOG26/22389"/>
    <x v="46"/>
    <d v="2026-08-08T00:00:00"/>
    <s v="TATA Genius DEF (1*10) - PVBU"/>
    <s v="Drona Logitech"/>
    <n v="10"/>
    <n v="100"/>
    <s v="PTL"/>
    <m/>
    <m/>
    <m/>
    <s v="Pending"/>
    <s v="To be Billed"/>
    <s v="No"/>
    <m/>
    <m/>
    <s v="HR55AP1830"/>
    <n v="709"/>
    <n v="0"/>
    <s v="Pending"/>
    <x v="1"/>
  </r>
  <r>
    <n v="48"/>
    <s v="Sonipat"/>
    <x v="28"/>
    <x v="20"/>
    <s v="SONGOG26/22390"/>
    <x v="47"/>
    <d v="2026-08-08T00:00:00"/>
    <s v="TATA Genius DEF (4*5) - PVBU"/>
    <s v="Drona Logitech"/>
    <n v="6"/>
    <n v="120"/>
    <s v="PTL"/>
    <m/>
    <m/>
    <m/>
    <s v="Pending"/>
    <s v="To be Billed"/>
    <s v="No"/>
    <m/>
    <m/>
    <s v="HR55AP1830"/>
    <n v="709"/>
    <n v="0"/>
    <s v="Pending"/>
    <x v="1"/>
  </r>
  <r>
    <n v="49"/>
    <s v="Sonipat"/>
    <x v="2"/>
    <x v="0"/>
    <s v="SONGOG26/22391"/>
    <x v="48"/>
    <d v="2026-08-08T00:00:00"/>
    <s v="TATA Genius DEF (1*10) - PVBU"/>
    <s v="Drona Logitech"/>
    <n v="20"/>
    <n v="200"/>
    <s v="PTL"/>
    <d v="2026-08-12T00:00:00"/>
    <d v="2026-08-12T00:00:00"/>
    <d v="2026-08-13T00:00:00"/>
    <s v="Delivered"/>
    <s v="To be Billed"/>
    <s v="No"/>
    <m/>
    <m/>
    <s v="HR55AP1830"/>
    <n v="709"/>
    <n v="0"/>
    <s v="Dispatch"/>
    <x v="0"/>
  </r>
  <r>
    <n v="50"/>
    <s v="Sonipat"/>
    <x v="2"/>
    <x v="0"/>
    <s v="SONGOG26/22392"/>
    <x v="49"/>
    <d v="2026-08-08T00:00:00"/>
    <s v="TATA Genius DEF (4*5) - PVBU"/>
    <s v="Drona Logitech"/>
    <n v="6"/>
    <n v="120"/>
    <s v="PTL"/>
    <d v="2026-08-12T00:00:00"/>
    <d v="2026-08-12T00:00:00"/>
    <d v="2026-08-13T00:00:00"/>
    <s v="Delivered"/>
    <s v="To be Billed"/>
    <s v="No"/>
    <m/>
    <m/>
    <s v="HR55AP1830"/>
    <n v="709"/>
    <n v="0"/>
    <s v="Dispatch"/>
    <x v="0"/>
  </r>
  <r>
    <n v="51"/>
    <s v="Sonipat"/>
    <x v="2"/>
    <x v="0"/>
    <s v="SONGOG26/22393"/>
    <x v="50"/>
    <d v="2026-08-08T00:00:00"/>
    <s v="TATA Genius DEF (6*2) - PVBU"/>
    <s v="Drona Logitech"/>
    <n v="4"/>
    <n v="48"/>
    <s v="PTL"/>
    <d v="2026-08-12T00:00:00"/>
    <d v="2026-08-12T00:00:00"/>
    <d v="2026-08-13T00:00:00"/>
    <s v="Delivered"/>
    <s v="To be Billed"/>
    <s v="No"/>
    <m/>
    <m/>
    <s v="HR55AP1830"/>
    <n v="709"/>
    <n v="0"/>
    <s v="Dispatch"/>
    <x v="0"/>
  </r>
  <r>
    <n v="52"/>
    <s v="Sonipat"/>
    <x v="12"/>
    <x v="10"/>
    <s v="SONGOG26/22394"/>
    <x v="51"/>
    <d v="2026-08-08T00:00:00"/>
    <s v="TATA Genius DEF (1*10) - PVBU"/>
    <s v="Drona Logitech"/>
    <n v="50"/>
    <n v="500"/>
    <s v="PTL"/>
    <m/>
    <m/>
    <m/>
    <s v="Pending"/>
    <s v="To be Billed"/>
    <s v="No"/>
    <m/>
    <m/>
    <s v="HR55AP1830"/>
    <n v="709"/>
    <n v="0"/>
    <s v="Pending"/>
    <x v="1"/>
  </r>
  <r>
    <n v="53"/>
    <s v="Sonipat"/>
    <x v="29"/>
    <x v="21"/>
    <s v="SONGOG26/22395"/>
    <x v="52"/>
    <d v="2026-08-08T00:00:00"/>
    <s v="TATA Genius DEF (1*10) - PVBU"/>
    <s v="Drona Logitech"/>
    <n v="10"/>
    <n v="100"/>
    <s v="PTL"/>
    <m/>
    <m/>
    <m/>
    <s v="Pending"/>
    <s v="To be Billed"/>
    <s v="No"/>
    <m/>
    <m/>
    <s v="HR55AP1830"/>
    <n v="709"/>
    <n v="0"/>
    <s v="Pending"/>
    <x v="1"/>
  </r>
  <r>
    <n v="54"/>
    <s v="Sonipat"/>
    <x v="30"/>
    <x v="18"/>
    <s v="SONGOG26/22397"/>
    <x v="53"/>
    <d v="2026-08-08T00:00:00"/>
    <s v="TATA Genius DEF (1*10) - PVBU"/>
    <s v="Drona Logitech"/>
    <n v="30"/>
    <n v="300"/>
    <s v="PTL"/>
    <m/>
    <m/>
    <m/>
    <s v="Pending"/>
    <s v="To be Billed"/>
    <s v="No"/>
    <m/>
    <m/>
    <s v="HR55AP1830"/>
    <n v="709"/>
    <n v="0"/>
    <s v="Pending"/>
    <x v="1"/>
  </r>
  <r>
    <n v="55"/>
    <s v="Sonipat"/>
    <x v="31"/>
    <x v="6"/>
    <s v="JHUSO26/433761"/>
    <x v="54"/>
    <d v="2026-08-08T00:00:00"/>
    <s v="HP DEF - 4*5L"/>
    <s v="Drona Logitech"/>
    <n v="28"/>
    <n v="112"/>
    <s v="PTL"/>
    <d v="2026-08-13T00:00:00"/>
    <d v="2026-08-14T00:00:00"/>
    <m/>
    <s v="In transit"/>
    <s v="To be Billed"/>
    <s v="No"/>
    <m/>
    <m/>
    <s v="HR55AP1830"/>
    <n v="709"/>
    <n v="0"/>
    <s v="Pending"/>
    <x v="1"/>
  </r>
  <r>
    <n v="56"/>
    <s v="Sonipat"/>
    <x v="32"/>
    <x v="22"/>
    <s v="JHUSO26/433774"/>
    <x v="55"/>
    <d v="2026-08-08T00:00:00"/>
    <s v="TATA Motors HP Genuine Def - 1*20L"/>
    <s v="Drona Logitech"/>
    <n v="50"/>
    <n v="1000"/>
    <s v="PTL"/>
    <m/>
    <m/>
    <m/>
    <s v="Pending"/>
    <s v="To be Billed"/>
    <s v="No"/>
    <m/>
    <m/>
    <s v="HR55AP1830"/>
    <n v="709"/>
    <n v="0"/>
    <s v="Pending"/>
    <x v="1"/>
  </r>
  <r>
    <n v="57"/>
    <s v="Sonipat"/>
    <x v="32"/>
    <x v="22"/>
    <s v="JHUSO26/433774"/>
    <x v="55"/>
    <d v="2026-08-08T00:00:00"/>
    <s v="TATA Motors HP Genuine Def - 4*5L"/>
    <s v="Drona Logitech"/>
    <n v="20"/>
    <n v="400"/>
    <s v="PTL"/>
    <m/>
    <m/>
    <m/>
    <s v="Pending"/>
    <s v="To be Billed"/>
    <s v="No"/>
    <m/>
    <m/>
    <s v="HR55AP1830"/>
    <n v="709"/>
    <n v="0"/>
    <s v="Pending"/>
    <x v="1"/>
  </r>
  <r>
    <n v="58"/>
    <s v="Sonipat"/>
    <x v="32"/>
    <x v="22"/>
    <s v="JHUSO26/433774"/>
    <x v="55"/>
    <d v="2026-08-08T00:00:00"/>
    <s v="TATA Motors HP Genuine Def - 1*20L"/>
    <s v="Drona Logitech"/>
    <n v="3"/>
    <n v="60"/>
    <s v="PTL"/>
    <m/>
    <m/>
    <m/>
    <s v="Pending"/>
    <s v="To be Billed"/>
    <s v="No"/>
    <m/>
    <m/>
    <s v="HR55AP1830"/>
    <n v="709"/>
    <n v="0"/>
    <s v="Pending"/>
    <x v="1"/>
  </r>
  <r>
    <n v="59"/>
    <s v="Sonipat"/>
    <x v="32"/>
    <x v="22"/>
    <s v="JHUSO26/433774"/>
    <x v="55"/>
    <d v="2026-08-08T00:00:00"/>
    <s v="TATA Motors HP Genuine Def - 4*5L"/>
    <s v="Drona Logitech"/>
    <n v="2"/>
    <n v="40"/>
    <s v="PTL"/>
    <m/>
    <m/>
    <m/>
    <s v="Pending"/>
    <s v="To be Billed"/>
    <s v="No"/>
    <m/>
    <m/>
    <s v="HR55AP1830"/>
    <n v="709"/>
    <n v="0"/>
    <s v="Pending"/>
    <x v="1"/>
  </r>
  <r>
    <n v="60"/>
    <s v="Sonipat"/>
    <x v="33"/>
    <x v="17"/>
    <s v="JHUSO26/433775"/>
    <x v="56"/>
    <d v="2026-08-08T00:00:00"/>
    <s v="TATA Motors HP Genuine Def - 1*20L"/>
    <s v="Drona Logitech"/>
    <n v="50"/>
    <n v="1000"/>
    <s v="PTL"/>
    <m/>
    <m/>
    <m/>
    <s v="Pending"/>
    <s v="To be Billed"/>
    <s v="No"/>
    <m/>
    <m/>
    <s v="HR55AP1830"/>
    <n v="709"/>
    <n v="0"/>
    <s v="Pending"/>
    <x v="1"/>
  </r>
  <r>
    <n v="61"/>
    <s v="Sonipat"/>
    <x v="33"/>
    <x v="17"/>
    <s v="JHUSO26/433775"/>
    <x v="56"/>
    <d v="2026-08-08T00:00:00"/>
    <s v="TATA Motors HP Genuine Def - 1*20L"/>
    <s v="Drona Logitech"/>
    <n v="3"/>
    <n v="60"/>
    <s v="PTL"/>
    <m/>
    <m/>
    <m/>
    <s v="Pending"/>
    <s v="To be Billed"/>
    <s v="No"/>
    <m/>
    <m/>
    <s v="HR55AP1830"/>
    <n v="709"/>
    <n v="0"/>
    <s v="Pending"/>
    <x v="1"/>
  </r>
  <r>
    <n v="62"/>
    <s v="Sonipat"/>
    <x v="34"/>
    <x v="14"/>
    <s v="JHUSO26/433775"/>
    <x v="57"/>
    <d v="2026-08-08T00:00:00"/>
    <s v="TATA Motors HP Genuine Def - 1*20L"/>
    <s v="Drona Logitech"/>
    <n v="30"/>
    <n v="600"/>
    <s v="PTL"/>
    <d v="2026-08-11T00:00:00"/>
    <d v="2026-08-10T00:00:00"/>
    <d v="2026-08-10T00:00:00"/>
    <s v="Delivered"/>
    <s v="To be Billed"/>
    <s v="No"/>
    <m/>
    <m/>
    <s v="HR55AP1830"/>
    <n v="709"/>
    <n v="0"/>
    <s v="Dispatch"/>
    <x v="0"/>
  </r>
  <r>
    <n v="63"/>
    <s v="Sonipat"/>
    <x v="34"/>
    <x v="14"/>
    <s v="JHUSO26/433775"/>
    <x v="57"/>
    <d v="2026-08-08T00:00:00"/>
    <s v="TATA Motors HP Genuine Def - 1*20L"/>
    <s v="Drona Logitech"/>
    <n v="1"/>
    <n v="20"/>
    <s v="PTL"/>
    <d v="2026-08-11T00:00:00"/>
    <d v="2026-08-10T00:00:00"/>
    <d v="2026-08-10T00:00:00"/>
    <s v="Delivered"/>
    <s v="To be Billed"/>
    <s v="No"/>
    <m/>
    <m/>
    <s v="HR55AP1830"/>
    <n v="709"/>
    <n v="0"/>
    <s v="Dispatch"/>
    <x v="0"/>
  </r>
  <r>
    <n v="64"/>
    <s v="Sonipat"/>
    <x v="35"/>
    <x v="23"/>
    <s v="JHUSO26/433778"/>
    <x v="58"/>
    <d v="2026-08-08T00:00:00"/>
    <s v="TATA Motors HP Genuine Def - 1*20L"/>
    <s v="Drona Logitech"/>
    <n v="100"/>
    <n v="2000"/>
    <s v="PTL"/>
    <m/>
    <m/>
    <m/>
    <s v="Pending"/>
    <s v="To be Billed"/>
    <s v="No"/>
    <m/>
    <m/>
    <s v="HR55AP1830"/>
    <n v="709"/>
    <n v="0"/>
    <s v="Pending"/>
    <x v="1"/>
  </r>
  <r>
    <n v="65"/>
    <s v="Sonipat"/>
    <x v="35"/>
    <x v="23"/>
    <s v="JHUSO26/433778"/>
    <x v="58"/>
    <d v="2026-08-08T00:00:00"/>
    <s v="TATA Motors HP Genuine Def - 1*20L"/>
    <s v="Drona Logitech"/>
    <n v="8"/>
    <n v="160"/>
    <s v="PTL"/>
    <m/>
    <m/>
    <m/>
    <s v="Pending"/>
    <s v="To be Billed"/>
    <s v="No"/>
    <m/>
    <m/>
    <s v="HR55AP1830"/>
    <n v="709"/>
    <n v="0"/>
    <s v="Pending"/>
    <x v="1"/>
  </r>
  <r>
    <n v="66"/>
    <s v="Sonipat"/>
    <x v="36"/>
    <x v="24"/>
    <s v="SONGOG26/22233"/>
    <x v="59"/>
    <d v="2026-07-31T00:00:00"/>
    <s v="TATA Genius DEF W/O SPOUT (4*5) - PVBU"/>
    <s v="Drona Logitech"/>
    <n v="39"/>
    <n v="780"/>
    <s v="FTL"/>
    <d v="2026-08-01T00:00:00"/>
    <d v="2026-08-01T00:00:00"/>
    <d v="2026-08-01T00:00:00"/>
    <s v="Delivered"/>
    <s v="To be Billed"/>
    <s v="No"/>
    <m/>
    <m/>
    <s v="HR69C7317"/>
    <n v="709"/>
    <n v="0"/>
    <s v="Dispatch"/>
    <x v="0"/>
  </r>
  <r>
    <n v="67"/>
    <s v="Sonipat"/>
    <x v="36"/>
    <x v="24"/>
    <s v="SONGOG26/22234"/>
    <x v="60"/>
    <d v="2026-07-31T00:00:00"/>
    <s v="TATA Genius DEF W/O SPOUT (1*10) - PVBU"/>
    <s v="Drona Logitech"/>
    <n v="300"/>
    <n v="3000"/>
    <s v="FTL"/>
    <d v="2026-08-01T00:00:00"/>
    <d v="2026-08-01T00:00:00"/>
    <d v="2026-08-01T00:00:00"/>
    <s v="Delivered"/>
    <s v="To be Billed"/>
    <s v="No"/>
    <m/>
    <m/>
    <s v="HR69C7317"/>
    <n v="709"/>
    <n v="0"/>
    <s v="Dispatch"/>
    <x v="0"/>
  </r>
  <r>
    <n v="68"/>
    <s v="Sonipat"/>
    <x v="37"/>
    <x v="8"/>
    <s v="SONGOG26/22235"/>
    <x v="61"/>
    <d v="2026-07-31T00:00:00"/>
    <s v="TATA Genius DEF (6*2) - PVBU"/>
    <s v="Drona Logitech"/>
    <n v="4"/>
    <n v="48"/>
    <s v="PTL"/>
    <d v="2026-08-06T00:00:00"/>
    <d v="2026-08-05T00:00:00"/>
    <d v="2026-08-06T00:00:00"/>
    <s v="Delivered"/>
    <s v="To be Billed"/>
    <s v="No"/>
    <m/>
    <m/>
    <s v="HR69C8468"/>
    <n v="709"/>
    <n v="0"/>
    <s v="Dispatch"/>
    <x v="0"/>
  </r>
  <r>
    <n v="69"/>
    <s v="Sonipat"/>
    <x v="37"/>
    <x v="8"/>
    <s v="SONGOG26/22236"/>
    <x v="62"/>
    <d v="2026-07-31T00:00:00"/>
    <s v="TATA Genius DEF (4*5) - PVBU"/>
    <s v="Drona Logitech"/>
    <n v="3"/>
    <n v="60"/>
    <s v="PTL"/>
    <d v="2026-08-06T00:00:00"/>
    <d v="2026-08-05T00:00:00"/>
    <d v="2026-08-06T00:00:00"/>
    <s v="Delivered"/>
    <s v="To be Billed"/>
    <s v="No"/>
    <m/>
    <m/>
    <s v="HR69C8468"/>
    <n v="709"/>
    <n v="0"/>
    <s v="Dispatch"/>
    <x v="0"/>
  </r>
  <r>
    <n v="70"/>
    <s v="Sonipat"/>
    <x v="37"/>
    <x v="8"/>
    <s v="SONGOG26/22237"/>
    <x v="63"/>
    <d v="2026-07-31T00:00:00"/>
    <s v="TATA Genius DEF (1*10) - PVBU"/>
    <s v="Drona Logitech"/>
    <n v="15"/>
    <n v="150"/>
    <s v="PTL"/>
    <d v="2026-08-06T00:00:00"/>
    <d v="2026-08-05T00:00:00"/>
    <d v="2026-08-06T00:00:00"/>
    <s v="Delivered"/>
    <s v="To be Billed"/>
    <s v="No"/>
    <m/>
    <m/>
    <s v="HR69C8468"/>
    <n v="709"/>
    <n v="0"/>
    <s v="Dispatch"/>
    <x v="0"/>
  </r>
  <r>
    <n v="71"/>
    <s v="Sonipat"/>
    <x v="38"/>
    <x v="25"/>
    <s v="SONGOG26/22238"/>
    <x v="64"/>
    <d v="2026-07-31T00:00:00"/>
    <s v="TATA Genius DEF (1*10) - PVBU"/>
    <s v="Drona Logitech"/>
    <n v="30"/>
    <n v="300"/>
    <s v="PTL"/>
    <d v="2026-08-07T00:00:00"/>
    <d v="2026-08-07T00:00:00"/>
    <d v="2026-08-07T00:00:00"/>
    <s v="Delivered"/>
    <s v="To be Billed"/>
    <s v="No"/>
    <m/>
    <m/>
    <s v="HR69C8468"/>
    <n v="709"/>
    <n v="0"/>
    <s v="Dispatch"/>
    <x v="0"/>
  </r>
  <r>
    <n v="72"/>
    <s v="Sonipat"/>
    <x v="38"/>
    <x v="25"/>
    <s v="SONGOG26/22239"/>
    <x v="65"/>
    <d v="2026-07-31T00:00:00"/>
    <s v="TATA Genius DEF (4*5) - PVBU"/>
    <s v="Drona Logitech"/>
    <n v="9"/>
    <n v="180"/>
    <s v="PTL"/>
    <d v="2026-08-07T00:00:00"/>
    <d v="2026-08-07T00:00:00"/>
    <d v="2026-08-07T00:00:00"/>
    <s v="Delivered"/>
    <s v="To be Billed"/>
    <s v="No"/>
    <m/>
    <m/>
    <s v="HR69C8468"/>
    <n v="709"/>
    <n v="0"/>
    <s v="Dispatch"/>
    <x v="0"/>
  </r>
  <r>
    <n v="73"/>
    <s v="Sonipat"/>
    <x v="38"/>
    <x v="25"/>
    <s v="SONGOG26/22240"/>
    <x v="66"/>
    <d v="2026-07-31T00:00:00"/>
    <s v="TATA Genius DEF (4*5) - PVBU"/>
    <s v="Drona Logitech"/>
    <n v="4"/>
    <n v="48"/>
    <s v="PTL"/>
    <d v="2026-08-07T00:00:00"/>
    <d v="2026-08-07T00:00:00"/>
    <d v="2026-08-07T00:00:00"/>
    <s v="Delivered"/>
    <s v="To be Billed"/>
    <s v="No"/>
    <m/>
    <m/>
    <s v="HR69C8468"/>
    <n v="709"/>
    <n v="0"/>
    <s v="Dispatch"/>
    <x v="0"/>
  </r>
  <r>
    <n v="74"/>
    <s v="Sonipat"/>
    <x v="39"/>
    <x v="26"/>
    <s v="SONGOG26/22241"/>
    <x v="67"/>
    <d v="2026-07-31T00:00:00"/>
    <s v="TATA Genius DEF (4*5) - PVBU"/>
    <s v="Drona Logitech"/>
    <n v="9"/>
    <n v="180"/>
    <s v="PTL"/>
    <d v="2026-08-14T00:00:00"/>
    <d v="2026-08-14T00:00:00"/>
    <m/>
    <s v="In transit"/>
    <s v="To be Billed"/>
    <s v="No"/>
    <m/>
    <m/>
    <s v="HR69C8468"/>
    <n v="709"/>
    <n v="0"/>
    <s v="Hold due to Kawad"/>
    <x v="0"/>
  </r>
  <r>
    <n v="75"/>
    <s v="Sonipat"/>
    <x v="40"/>
    <x v="27"/>
    <s v="SONGOG26/22242"/>
    <x v="68"/>
    <d v="2026-07-31T00:00:00"/>
    <s v="TATA Genius DEF (4*5) - PVBU"/>
    <s v="Drona Logitech"/>
    <n v="6"/>
    <n v="120"/>
    <s v="PTL"/>
    <m/>
    <m/>
    <m/>
    <s v="Pending"/>
    <s v="To be Billed"/>
    <s v="No"/>
    <m/>
    <m/>
    <s v="HR69C8468"/>
    <n v="709"/>
    <n v="0"/>
    <s v="Hold due to Kawad"/>
    <x v="1"/>
  </r>
  <r>
    <n v="76"/>
    <s v="Sonipat"/>
    <x v="8"/>
    <x v="6"/>
    <s v="SONGOG26/22243"/>
    <x v="69"/>
    <d v="2026-07-31T00:00:00"/>
    <s v="TATA Genius DEF (4*5) - PVBU"/>
    <s v="Drona Logitech"/>
    <n v="15"/>
    <n v="300"/>
    <s v="PTL"/>
    <d v="2026-08-07T00:00:00"/>
    <d v="2026-08-07T00:00:00"/>
    <d v="2026-08-07T00:00:00"/>
    <s v="Delivered"/>
    <s v="To be Billed"/>
    <s v="No"/>
    <m/>
    <m/>
    <s v="HR69C8468"/>
    <n v="709"/>
    <n v="0"/>
    <s v="Dispatch"/>
    <x v="0"/>
  </r>
  <r>
    <n v="77"/>
    <s v="Sonipat"/>
    <x v="41"/>
    <x v="28"/>
    <n v="718286822"/>
    <x v="70"/>
    <d v="2026-08-31T00:00:00"/>
    <s v="TATA Genius DEF (5*4) - CVBU"/>
    <s v="Drona Logitech"/>
    <n v="7"/>
    <n v="140"/>
    <s v="PTL"/>
    <m/>
    <m/>
    <m/>
    <s v="Pending"/>
    <s v="To be Billed"/>
    <s v="No"/>
    <m/>
    <m/>
    <s v="HR69C8468"/>
    <n v="709"/>
    <n v="0"/>
    <s v="Pending"/>
    <x v="1"/>
  </r>
  <r>
    <n v="78"/>
    <s v="Sonipat"/>
    <x v="42"/>
    <x v="29"/>
    <s v="SONGOG26/22245"/>
    <x v="71"/>
    <d v="2026-07-31T00:00:00"/>
    <s v="TATA Genius DEF (4*5) - PVBU"/>
    <s v="Drona Logitech"/>
    <n v="3"/>
    <n v="60"/>
    <s v="PTL"/>
    <d v="2026-08-07T00:00:00"/>
    <d v="2026-08-07T00:00:00"/>
    <d v="2026-08-07T00:00:00"/>
    <s v="Delivered"/>
    <s v="To be Billed"/>
    <s v="No"/>
    <m/>
    <m/>
    <s v="HR69C8468"/>
    <n v="709"/>
    <n v="0"/>
    <s v="Dispatch"/>
    <x v="0"/>
  </r>
  <r>
    <n v="79"/>
    <s v="Sonipat"/>
    <x v="43"/>
    <x v="30"/>
    <s v="SONGOG26/22250"/>
    <x v="72"/>
    <d v="2026-07-31T00:00:00"/>
    <s v="TATA Genius DEF (1*10) - PVBU"/>
    <s v="Drona Logitech"/>
    <n v="30"/>
    <n v="300"/>
    <s v="PTL"/>
    <d v="2026-08-07T00:00:00"/>
    <d v="2026-08-07T00:00:00"/>
    <d v="2026-08-07T00:00:00"/>
    <s v="Delivered"/>
    <s v="To be Billed"/>
    <s v="No"/>
    <m/>
    <m/>
    <s v="HR69C8468"/>
    <n v="709"/>
    <n v="0"/>
    <s v="Dispatch"/>
    <x v="0"/>
  </r>
  <r>
    <n v="80"/>
    <s v="Sonipat"/>
    <x v="39"/>
    <x v="27"/>
    <n v="716286824"/>
    <x v="73"/>
    <d v="2026-08-31T00:00:00"/>
    <s v="TATA Genius DEF (5*4) - CVBU"/>
    <s v="Drona Logitech"/>
    <n v="15"/>
    <n v="300"/>
    <s v="PTL"/>
    <m/>
    <m/>
    <m/>
    <s v="Pending"/>
    <s v="To be Billed"/>
    <s v="No"/>
    <m/>
    <m/>
    <s v="HR69C8468"/>
    <n v="709"/>
    <n v="0"/>
    <s v="Hold due to Kawad"/>
    <x v="1"/>
  </r>
  <r>
    <n v="81"/>
    <s v="Sonipat"/>
    <x v="44"/>
    <x v="27"/>
    <n v="716286825"/>
    <x v="74"/>
    <d v="2026-08-31T00:00:00"/>
    <s v="TATA Genius DEF (5*4) - CVBU"/>
    <s v="Drona Logitech"/>
    <n v="25"/>
    <n v="500"/>
    <s v="PTL"/>
    <m/>
    <m/>
    <m/>
    <s v="Pending"/>
    <s v="To be Billed"/>
    <s v="No"/>
    <m/>
    <m/>
    <s v="HR69C8468"/>
    <n v="709"/>
    <n v="0"/>
    <s v="Hold due to Kawad"/>
    <x v="1"/>
  </r>
  <r>
    <n v="82"/>
    <s v="Sonipat"/>
    <x v="45"/>
    <x v="31"/>
    <s v="SONGOG26/22251"/>
    <x v="75"/>
    <d v="2026-08-01T00:00:00"/>
    <s v="TATA Genius DEF (1*10) - PVBU"/>
    <s v="Drona Logitech"/>
    <n v="10"/>
    <n v="100"/>
    <s v="PTL"/>
    <d v="2026-08-07T00:00:00"/>
    <d v="2026-08-07T00:00:00"/>
    <d v="2026-08-07T00:00:00"/>
    <s v="Delivered"/>
    <s v="To be Billed"/>
    <s v="No"/>
    <m/>
    <m/>
    <s v="HR69C7317"/>
    <n v="709"/>
    <n v="0"/>
    <s v="Dispatch"/>
    <x v="0"/>
  </r>
  <r>
    <n v="83"/>
    <s v="Sonipat"/>
    <x v="45"/>
    <x v="31"/>
    <s v="SONGOG26/22252"/>
    <x v="76"/>
    <d v="2026-08-01T00:00:00"/>
    <s v="TATA Genius DEF (4*5) - PVBU"/>
    <s v="Drona Logitech"/>
    <n v="3"/>
    <n v="60"/>
    <s v="PTL"/>
    <d v="2026-08-07T00:00:00"/>
    <d v="2026-08-07T00:00:00"/>
    <d v="2026-08-07T00:00:00"/>
    <s v="Delivered"/>
    <s v="To be Billed"/>
    <s v="No"/>
    <m/>
    <m/>
    <s v="HR69C7317"/>
    <n v="709"/>
    <n v="0"/>
    <s v="Dispatch"/>
    <x v="0"/>
  </r>
  <r>
    <n v="84"/>
    <s v="Sonipat"/>
    <x v="46"/>
    <x v="32"/>
    <s v="SONGOG26/22253"/>
    <x v="77"/>
    <d v="2026-08-01T00:00:00"/>
    <s v="TATA Genius DEF (1*10) - PVBU"/>
    <s v="Drona Logitech"/>
    <n v="15"/>
    <n v="150"/>
    <s v="PTL"/>
    <d v="2026-08-07T00:00:00"/>
    <d v="2026-08-07T00:00:00"/>
    <d v="2026-08-07T00:00:00"/>
    <s v="Delivered"/>
    <s v="To be Billed"/>
    <s v="No"/>
    <m/>
    <m/>
    <s v="HR69C7317"/>
    <n v="709"/>
    <n v="0"/>
    <s v="Dispatch"/>
    <x v="0"/>
  </r>
  <r>
    <n v="85"/>
    <s v="Sonipat"/>
    <x v="47"/>
    <x v="33"/>
    <s v="SONGOG26/22254"/>
    <x v="78"/>
    <d v="2026-08-01T00:00:00"/>
    <s v="TATA Genius DEF (1*10) - PVBU"/>
    <s v="Drona Logitech"/>
    <n v="5"/>
    <n v="50"/>
    <s v="PTL"/>
    <m/>
    <m/>
    <m/>
    <s v="Pending"/>
    <s v="To be Billed"/>
    <s v="No"/>
    <m/>
    <m/>
    <s v="HR69C7317"/>
    <n v="709"/>
    <n v="0"/>
    <s v="Pending"/>
    <x v="1"/>
  </r>
  <r>
    <n v="86"/>
    <s v="Sonipat"/>
    <x v="48"/>
    <x v="34"/>
    <s v="SONGOG26/22257"/>
    <x v="79"/>
    <d v="2026-08-01T00:00:00"/>
    <s v="TATA Genius DEF (4*5) - PVBU"/>
    <s v="Drona Logitech"/>
    <n v="12"/>
    <n v="240"/>
    <s v="PTL"/>
    <d v="2026-08-12T00:00:00"/>
    <d v="2026-08-12T00:00:00"/>
    <m/>
    <s v="In transit"/>
    <s v="To be Billed"/>
    <s v="No"/>
    <m/>
    <m/>
    <s v="HR69C7317"/>
    <n v="709"/>
    <n v="0"/>
    <s v="Dispatch"/>
    <x v="0"/>
  </r>
  <r>
    <n v="87"/>
    <s v="Sonipat"/>
    <x v="48"/>
    <x v="34"/>
    <s v="SONGOG26/22258"/>
    <x v="80"/>
    <d v="2026-08-01T00:00:00"/>
    <s v="TATA Genius DEF (1*10) - PVBU"/>
    <s v="Drona Logitech"/>
    <n v="15"/>
    <n v="150"/>
    <s v="PTL"/>
    <d v="2026-08-12T00:00:00"/>
    <d v="2026-08-12T00:00:00"/>
    <m/>
    <s v="In transit"/>
    <s v="To be Billed"/>
    <s v="No"/>
    <m/>
    <m/>
    <s v="HR69C7317"/>
    <n v="709"/>
    <n v="0"/>
    <s v="Dispatch"/>
    <x v="0"/>
  </r>
  <r>
    <n v="88"/>
    <s v="Sonipat"/>
    <x v="49"/>
    <x v="8"/>
    <s v="SONGOG26/22259"/>
    <x v="81"/>
    <d v="2026-08-01T00:00:00"/>
    <s v="TATA Genius DEF (1*10) - PVBU"/>
    <s v="Drona Logitech"/>
    <n v="10"/>
    <n v="100"/>
    <s v="PTL"/>
    <d v="2026-08-06T00:00:00"/>
    <d v="2026-08-05T00:00:00"/>
    <d v="2026-08-06T00:00:00"/>
    <s v="Delivered"/>
    <s v="To be Billed"/>
    <s v="No"/>
    <m/>
    <m/>
    <s v="HR69C7317"/>
    <n v="709"/>
    <n v="0"/>
    <s v="Dispatch"/>
    <x v="0"/>
  </r>
  <r>
    <n v="89"/>
    <s v="Sonipat"/>
    <x v="49"/>
    <x v="8"/>
    <s v="SONGOG26/22260"/>
    <x v="82"/>
    <d v="2026-08-01T00:00:00"/>
    <s v="TATA Genius DEF (4*5) - PVBU"/>
    <s v="Drona Logitech"/>
    <n v="21"/>
    <n v="420"/>
    <s v="PTL"/>
    <d v="2026-08-06T00:00:00"/>
    <d v="2026-08-05T00:00:00"/>
    <d v="2026-08-06T00:00:00"/>
    <s v="Delivered"/>
    <s v="To be Billed"/>
    <s v="No"/>
    <m/>
    <m/>
    <s v="HR69C7317"/>
    <n v="709"/>
    <n v="0"/>
    <s v="Dispatch"/>
    <x v="0"/>
  </r>
  <r>
    <n v="90"/>
    <s v="Sonipat"/>
    <x v="49"/>
    <x v="8"/>
    <s v="SONGOG26/22261"/>
    <x v="83"/>
    <d v="2026-08-01T00:00:00"/>
    <s v="TATA Genius DEF (4*5) - PVBU"/>
    <s v="Drona Logitech"/>
    <n v="12"/>
    <n v="144"/>
    <s v="PTL"/>
    <d v="2026-08-06T00:00:00"/>
    <d v="2026-08-05T00:00:00"/>
    <d v="2026-08-06T00:00:00"/>
    <s v="Delivered"/>
    <s v="To be Billed"/>
    <s v="No"/>
    <m/>
    <m/>
    <s v="HR69C7317"/>
    <n v="709"/>
    <n v="0"/>
    <s v="Dispatch"/>
    <x v="0"/>
  </r>
  <r>
    <n v="91"/>
    <s v="Sonipat"/>
    <x v="43"/>
    <x v="35"/>
    <s v="SONGOG26/22262"/>
    <x v="84"/>
    <d v="2026-08-01T00:00:00"/>
    <s v="TATA Genius DEF (6*2) - PVBU"/>
    <s v="Drona Logitech"/>
    <n v="4"/>
    <n v="48"/>
    <s v="PTL"/>
    <d v="2026-08-07T00:00:00"/>
    <d v="2026-08-07T00:00:00"/>
    <d v="2026-08-07T00:00:00"/>
    <s v="Delivered"/>
    <s v="To be Billed"/>
    <s v="No"/>
    <m/>
    <m/>
    <s v="HR69C7317"/>
    <n v="709"/>
    <n v="0"/>
    <s v="Dispatch"/>
    <x v="0"/>
  </r>
  <r>
    <n v="92"/>
    <s v="Sonipat"/>
    <x v="43"/>
    <x v="35"/>
    <s v="SONGOG26/22263"/>
    <x v="85"/>
    <d v="2026-08-01T00:00:00"/>
    <s v="TATA Genius DEF (1*10) - PVBU"/>
    <s v="Drona Logitech"/>
    <n v="10"/>
    <n v="100"/>
    <s v="PTL"/>
    <d v="2026-08-07T00:00:00"/>
    <d v="2026-08-07T00:00:00"/>
    <d v="2026-08-07T00:00:00"/>
    <s v="Delivered"/>
    <s v="To be Billed"/>
    <s v="No"/>
    <m/>
    <m/>
    <s v="HR69C7317"/>
    <n v="709"/>
    <n v="0"/>
    <s v="Dispatch"/>
    <x v="0"/>
  </r>
  <r>
    <n v="93"/>
    <s v="Sonipat"/>
    <x v="43"/>
    <x v="35"/>
    <s v="SONGOG26/22264"/>
    <x v="86"/>
    <d v="2026-08-01T00:00:00"/>
    <s v="TATA Genius DEF (4*5) - PVBU"/>
    <s v="Drona Logitech"/>
    <n v="6"/>
    <n v="120"/>
    <s v="PTL"/>
    <d v="2026-08-07T00:00:00"/>
    <d v="2026-08-07T00:00:00"/>
    <d v="2026-08-07T00:00:00"/>
    <s v="Delivered"/>
    <s v="To be Billed"/>
    <s v="No"/>
    <m/>
    <m/>
    <s v="HR69C7317"/>
    <n v="709"/>
    <n v="0"/>
    <s v="Dispatch"/>
    <x v="0"/>
  </r>
  <r>
    <n v="94"/>
    <s v="Sonipat"/>
    <x v="50"/>
    <x v="29"/>
    <s v="SONGOG26/22265"/>
    <x v="87"/>
    <d v="2026-08-01T00:00:00"/>
    <s v="TATA Genius DEF (1*10) - PVBU"/>
    <s v="Drona Logitech"/>
    <n v="20"/>
    <n v="200"/>
    <s v="PTL"/>
    <d v="2026-08-07T00:00:00"/>
    <d v="2026-08-07T00:00:00"/>
    <d v="2026-08-07T00:00:00"/>
    <s v="Delivered"/>
    <s v="To be Billed"/>
    <s v="No"/>
    <m/>
    <m/>
    <s v="HR69C7317"/>
    <n v="709"/>
    <n v="0"/>
    <s v="Dispatch"/>
    <x v="0"/>
  </r>
  <r>
    <n v="95"/>
    <s v="Sonipat"/>
    <x v="51"/>
    <x v="27"/>
    <s v="SONGOG26/22266"/>
    <x v="88"/>
    <d v="2026-08-01T00:00:00"/>
    <s v="TATA Genius DEF (4*5) - PVBU"/>
    <s v="Drona Logitech"/>
    <n v="12"/>
    <n v="240"/>
    <s v="PTL"/>
    <m/>
    <m/>
    <m/>
    <s v="Pending"/>
    <s v="To be Billed"/>
    <s v="No"/>
    <m/>
    <m/>
    <s v="HR69C7317"/>
    <n v="709"/>
    <n v="0"/>
    <s v="Hold due to Kawad"/>
    <x v="1"/>
  </r>
  <r>
    <n v="96"/>
    <s v="Sonipat"/>
    <x v="51"/>
    <x v="27"/>
    <s v="SONGOG26/22267"/>
    <x v="89"/>
    <d v="2026-08-01T00:00:00"/>
    <s v="TATA Genius DEF (6*2) - PVBU"/>
    <s v="Drona Logitech"/>
    <n v="4"/>
    <n v="48"/>
    <s v="PTL"/>
    <m/>
    <m/>
    <m/>
    <s v="Pending"/>
    <s v="To be Billed"/>
    <s v="No"/>
    <m/>
    <m/>
    <s v="HR69C7317"/>
    <n v="709"/>
    <n v="0"/>
    <s v="Hold due to Kawad"/>
    <x v="1"/>
  </r>
  <r>
    <n v="97"/>
    <s v="Sonipat"/>
    <x v="52"/>
    <x v="36"/>
    <s v="SONGOG26/22268"/>
    <x v="90"/>
    <d v="2026-08-01T00:00:00"/>
    <s v="TATA Genius DEF (1*10) - PVBU"/>
    <s v="Drona Logitech"/>
    <n v="60"/>
    <n v="600"/>
    <s v="PTL"/>
    <d v="2026-08-11T00:00:00"/>
    <d v="2026-08-10T00:00:00"/>
    <d v="2026-08-10T00:00:00"/>
    <s v="Delivered"/>
    <s v="To be Billed"/>
    <s v="No"/>
    <m/>
    <m/>
    <s v="HR69C7317"/>
    <n v="709"/>
    <n v="0"/>
    <s v="Dispatch"/>
    <x v="0"/>
  </r>
  <r>
    <n v="98"/>
    <s v="Sonipat"/>
    <x v="53"/>
    <x v="37"/>
    <s v="SONGIV2622594"/>
    <x v="91"/>
    <d v="2026-08-03T00:00:00"/>
    <s v="TATA Genius DEF (6*1) - PVBU"/>
    <s v="Drona Logitech"/>
    <n v="6"/>
    <n v="120"/>
    <s v="PTL"/>
    <m/>
    <m/>
    <m/>
    <s v="Pending"/>
    <s v="To be Billed"/>
    <s v="No"/>
    <m/>
    <m/>
    <s v="HR69C8468"/>
    <n v="709"/>
    <n v="0"/>
    <s v="Pending"/>
    <x v="1"/>
  </r>
  <r>
    <n v="99"/>
    <s v="Sonipat"/>
    <x v="48"/>
    <x v="34"/>
    <s v="SONGIV2622595"/>
    <x v="92"/>
    <d v="2026-08-03T00:00:00"/>
    <s v="TATA Genius DEF (1*10) - PVBU"/>
    <s v="Drona Logitech"/>
    <n v="30"/>
    <n v="300"/>
    <s v="PTL"/>
    <d v="2026-08-12T00:00:00"/>
    <d v="2026-08-12T00:00:00"/>
    <m/>
    <s v="In transit"/>
    <s v="To be Billed"/>
    <s v="No"/>
    <m/>
    <m/>
    <s v="HR69C8468"/>
    <n v="709"/>
    <n v="0"/>
    <s v="Dispatch"/>
    <x v="0"/>
  </r>
  <r>
    <n v="100"/>
    <s v="Sonipat"/>
    <x v="48"/>
    <x v="34"/>
    <s v="SONGIV2622596"/>
    <x v="93"/>
    <d v="2026-08-03T00:00:00"/>
    <s v="TATA Genius DEF (5*4) - PVBU"/>
    <s v="Drona Logitech"/>
    <n v="24"/>
    <n v="480"/>
    <s v="PTL"/>
    <d v="2026-08-12T00:00:00"/>
    <d v="2026-08-12T00:00:00"/>
    <m/>
    <s v="In transit"/>
    <s v="To be Billed"/>
    <s v="No"/>
    <m/>
    <m/>
    <s v="HR69C8468"/>
    <n v="709"/>
    <n v="0"/>
    <s v="Dispatch"/>
    <x v="0"/>
  </r>
  <r>
    <n v="101"/>
    <s v="Sonipat"/>
    <x v="54"/>
    <x v="38"/>
    <s v="SONGOG26/22255"/>
    <x v="94"/>
    <d v="2026-08-01T00:00:00"/>
    <s v="TATA Genius DEF W/O SPOUT (1*10) - PVBU"/>
    <s v="Drona Logitech"/>
    <n v="100"/>
    <n v="1000"/>
    <s v="PTL"/>
    <d v="2026-08-11T00:00:00"/>
    <d v="2026-08-10T00:00:00"/>
    <d v="2026-08-10T00:00:00"/>
    <s v="Delivered"/>
    <s v="To be Billed"/>
    <s v="No"/>
    <m/>
    <m/>
    <s v="HR69C7317"/>
    <n v="709"/>
    <n v="0"/>
    <s v="Dispatch"/>
    <x v="0"/>
  </r>
  <r>
    <n v="102"/>
    <s v="Sonipat"/>
    <x v="55"/>
    <x v="39"/>
    <n v="716286937"/>
    <x v="95"/>
    <d v="2026-08-04T00:00:00"/>
    <s v="TATA Genius DEF (20*1) - CVBU"/>
    <s v="Drona Logitech"/>
    <n v="300"/>
    <n v="6000"/>
    <s v="FTL"/>
    <d v="2026-08-06T00:00:00"/>
    <d v="2026-08-06T00:00:00"/>
    <d v="2026-08-06T00:00:00"/>
    <s v="Delivered"/>
    <s v="To be Billed"/>
    <s v="No"/>
    <m/>
    <m/>
    <s v="HR69C8247"/>
    <n v="709"/>
    <n v="0"/>
    <s v="Dispatch"/>
    <x v="0"/>
  </r>
  <r>
    <n v="103"/>
    <s v="Sonipat"/>
    <x v="55"/>
    <x v="39"/>
    <n v="716286935"/>
    <x v="96"/>
    <d v="2026-08-04T00:00:00"/>
    <s v="TATA Genius DEF (20*1) - CVBU"/>
    <s v="Drona Logitech"/>
    <n v="300"/>
    <n v="6000"/>
    <s v="FTL"/>
    <d v="2026-08-06T00:00:00"/>
    <d v="2026-08-06T00:00:00"/>
    <d v="2026-08-06T00:00:00"/>
    <s v="Delivered"/>
    <s v="To be Billed"/>
    <s v="No"/>
    <m/>
    <m/>
    <s v="HR45C7065"/>
    <n v="709"/>
    <n v="0"/>
    <s v="Dispatch"/>
    <x v="0"/>
  </r>
  <r>
    <n v="104"/>
    <s v="Sonipat"/>
    <x v="55"/>
    <x v="39"/>
    <n v="716286936"/>
    <x v="97"/>
    <d v="2026-08-04T00:00:00"/>
    <s v="TATA Genius DEF (20*1) - CVBU"/>
    <s v="Drona Logitech"/>
    <n v="300"/>
    <n v="6000"/>
    <s v="FTL"/>
    <d v="2026-08-06T00:00:00"/>
    <d v="2026-08-06T00:00:00"/>
    <d v="2026-08-06T00:00:00"/>
    <s v="Delivered"/>
    <s v="To be Billed"/>
    <s v="No"/>
    <m/>
    <m/>
    <s v="HR69C7642"/>
    <n v="709"/>
    <n v="0"/>
    <s v="Dispatch"/>
    <x v="0"/>
  </r>
  <r>
    <n v="105"/>
    <s v="Sonipat"/>
    <x v="56"/>
    <x v="8"/>
    <n v="716287010"/>
    <x v="98"/>
    <d v="2026-08-04T00:00:00"/>
    <s v="TATA Genius DEF (20*1) - CVBU"/>
    <s v="Drona Logitech"/>
    <n v="100"/>
    <n v="2000"/>
    <s v="PTL"/>
    <d v="2026-08-06T00:00:00"/>
    <d v="2026-08-05T00:00:00"/>
    <d v="2026-08-06T00:00:00"/>
    <s v="Delivered"/>
    <s v="To be Billed"/>
    <s v="No"/>
    <m/>
    <m/>
    <s v="HR69C8468"/>
    <n v="709"/>
    <n v="0"/>
    <s v="Dispatch"/>
    <x v="0"/>
  </r>
  <r>
    <n v="106"/>
    <s v="Sonipat"/>
    <x v="57"/>
    <x v="40"/>
    <s v="SONGOG26/22277"/>
    <x v="99"/>
    <d v="2026-08-04T00:00:00"/>
    <s v="TATA Genius DEF (1*10) - PVBU"/>
    <s v="Drona Logitech"/>
    <n v="35"/>
    <n v="350"/>
    <s v="PTL"/>
    <m/>
    <m/>
    <m/>
    <s v="Pending"/>
    <s v="To be Billed"/>
    <s v="No"/>
    <m/>
    <m/>
    <s v="HR69C7371"/>
    <n v="709"/>
    <n v="0"/>
    <s v="Pending"/>
    <x v="1"/>
  </r>
  <r>
    <n v="107"/>
    <s v="Sonipat"/>
    <x v="57"/>
    <x v="40"/>
    <s v="SONGOG26/22278"/>
    <x v="100"/>
    <d v="2026-08-04T00:00:00"/>
    <s v="TATA Genius DEF (4*5) - PVBU"/>
    <s v="Drona Logitech"/>
    <n v="3"/>
    <n v="60"/>
    <s v="PTL"/>
    <m/>
    <m/>
    <m/>
    <s v="Pending"/>
    <s v="To be Billed"/>
    <s v="No"/>
    <m/>
    <m/>
    <s v="HR69C7371"/>
    <n v="709"/>
    <n v="0"/>
    <s v="Pending"/>
    <x v="1"/>
  </r>
  <r>
    <n v="108"/>
    <s v="Sonipat"/>
    <x v="57"/>
    <x v="40"/>
    <s v="SONGOG26/22279"/>
    <x v="101"/>
    <d v="2026-08-04T00:00:00"/>
    <s v="TATA Genius DEF (6*2) - PVBU"/>
    <s v="Drona Logitech"/>
    <n v="4"/>
    <n v="48"/>
    <s v="PTL"/>
    <m/>
    <m/>
    <m/>
    <s v="Pending"/>
    <s v="To be Billed"/>
    <s v="No"/>
    <m/>
    <m/>
    <s v="HR69C7371"/>
    <n v="709"/>
    <n v="0"/>
    <s v="Pending"/>
    <x v="1"/>
  </r>
  <r>
    <n v="109"/>
    <s v="Sonipat"/>
    <x v="14"/>
    <x v="41"/>
    <s v="SONGOG26/22280"/>
    <x v="102"/>
    <d v="2026-08-04T00:00:00"/>
    <s v="TATA Genius DEF (4*5) - PVBU"/>
    <s v="Drona Logitech"/>
    <n v="18"/>
    <n v="360"/>
    <s v="PTL"/>
    <d v="2026-08-12T00:00:00"/>
    <d v="2026-08-12T00:00:00"/>
    <m/>
    <s v="In transit"/>
    <s v="To be Billed"/>
    <s v="No"/>
    <m/>
    <m/>
    <s v="HR69C7371"/>
    <n v="709"/>
    <n v="0"/>
    <s v="Dispatch"/>
    <x v="0"/>
  </r>
  <r>
    <n v="110"/>
    <s v="Sonipat"/>
    <x v="16"/>
    <x v="14"/>
    <s v="SONGOG26/22281"/>
    <x v="103"/>
    <d v="2026-08-04T00:00:00"/>
    <s v="TATA Genius DEF (4*5) - PVBU"/>
    <s v="Drona Logitech"/>
    <n v="15"/>
    <n v="300"/>
    <s v="PTL"/>
    <d v="2026-08-12T00:00:00"/>
    <d v="2026-08-12T00:00:00"/>
    <m/>
    <s v="In transit"/>
    <s v="To be Billed"/>
    <s v="No"/>
    <m/>
    <m/>
    <s v="HR69C7371"/>
    <n v="709"/>
    <n v="0"/>
    <s v="Dispatch"/>
    <x v="0"/>
  </r>
  <r>
    <n v="111"/>
    <s v="Sonipat"/>
    <x v="5"/>
    <x v="3"/>
    <s v="SONGOG26/22282"/>
    <x v="104"/>
    <d v="2026-08-04T00:00:00"/>
    <s v="TATA Genius DEF (4*5) - PVBU"/>
    <s v="Drona Logitech"/>
    <n v="6"/>
    <n v="120"/>
    <s v="PTL"/>
    <m/>
    <m/>
    <m/>
    <s v="Pending"/>
    <s v="To be Billed"/>
    <s v="No"/>
    <m/>
    <m/>
    <s v="HR69C7371"/>
    <n v="709"/>
    <n v="0"/>
    <s v="Pending"/>
    <x v="1"/>
  </r>
  <r>
    <n v="112"/>
    <s v="Sonipat"/>
    <x v="5"/>
    <x v="3"/>
    <s v="SONGOG26/22283"/>
    <x v="105"/>
    <d v="2026-08-04T00:00:00"/>
    <s v="TATA Genius DEF (1*10) - PVBU"/>
    <s v="Drona Logitech"/>
    <n v="20"/>
    <n v="200"/>
    <s v="PTL"/>
    <m/>
    <m/>
    <m/>
    <s v="Pending"/>
    <s v="To be Billed"/>
    <s v="No"/>
    <m/>
    <m/>
    <s v="HR69C7371"/>
    <n v="709"/>
    <n v="0"/>
    <s v="Pending"/>
    <x v="1"/>
  </r>
  <r>
    <n v="113"/>
    <s v="Sonipat"/>
    <x v="58"/>
    <x v="42"/>
    <s v="SONGOG26/22284"/>
    <x v="106"/>
    <d v="2026-08-04T00:00:00"/>
    <s v="TATA Genius DEF (4*5) - PVBU"/>
    <s v="Drona Logitech"/>
    <n v="9"/>
    <n v="180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14"/>
    <s v="Sonipat"/>
    <x v="58"/>
    <x v="42"/>
    <s v="SONGOG26/22285"/>
    <x v="107"/>
    <d v="2026-08-04T00:00:00"/>
    <s v="TATA Genius DEF (1*10) - PVBU"/>
    <s v="Drona Logitech"/>
    <n v="10"/>
    <n v="100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15"/>
    <s v="Sonipat"/>
    <x v="59"/>
    <x v="43"/>
    <s v="SONGOG26/22286"/>
    <x v="108"/>
    <d v="2026-08-04T00:00:00"/>
    <s v="TATA Genius DEF (4*5) - PVBU"/>
    <s v="Drona Logitech"/>
    <n v="18"/>
    <n v="360"/>
    <s v="PTL"/>
    <d v="2026-08-11T00:00:00"/>
    <d v="2026-08-10T00:00:00"/>
    <d v="2026-08-10T00:00:00"/>
    <s v="Delivered"/>
    <s v="To be Billed"/>
    <s v="No"/>
    <m/>
    <m/>
    <s v="HR69C7371"/>
    <n v="709"/>
    <n v="0"/>
    <s v="Dispatch"/>
    <x v="0"/>
  </r>
  <r>
    <n v="116"/>
    <s v="Sonipat"/>
    <x v="60"/>
    <x v="44"/>
    <s v="SONGOG26/22287"/>
    <x v="109"/>
    <d v="2026-08-04T00:00:00"/>
    <s v="TATA Genius DEF (4*5) - PVBU"/>
    <s v="Drona Logitech"/>
    <n v="12"/>
    <n v="240"/>
    <s v="PTL"/>
    <m/>
    <m/>
    <m/>
    <s v="Pending"/>
    <s v="To be Billed"/>
    <s v="No"/>
    <m/>
    <m/>
    <s v="HR69C7371"/>
    <n v="709"/>
    <n v="0"/>
    <s v="Pending"/>
    <x v="1"/>
  </r>
  <r>
    <n v="117"/>
    <s v="Sonipat"/>
    <x v="60"/>
    <x v="44"/>
    <s v="SONGOG26/22288"/>
    <x v="110"/>
    <d v="2026-08-04T00:00:00"/>
    <s v="TATA Genius DEF (1*10) - PVBU"/>
    <s v="Drona Logitech"/>
    <n v="5"/>
    <n v="50"/>
    <s v="PTL"/>
    <m/>
    <m/>
    <m/>
    <s v="Pending"/>
    <s v="To be Billed"/>
    <s v="No"/>
    <m/>
    <m/>
    <s v="HR69C7371"/>
    <n v="709"/>
    <n v="0"/>
    <s v="Pending"/>
    <x v="1"/>
  </r>
  <r>
    <n v="118"/>
    <s v="Sonipat"/>
    <x v="61"/>
    <x v="45"/>
    <s v="SONGOG26/22289"/>
    <x v="111"/>
    <d v="2026-08-04T00:00:00"/>
    <s v="TATA Genius DEF (4*5) - PVBU"/>
    <s v="Drona Logitech"/>
    <n v="6"/>
    <n v="120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19"/>
    <s v="Sonipat"/>
    <x v="62"/>
    <x v="46"/>
    <s v="SONGOG26/22290"/>
    <x v="112"/>
    <d v="2026-08-04T00:00:00"/>
    <s v="TATA Genius DEF (1*10) - PVBU"/>
    <s v="Drona Logitech"/>
    <n v="10"/>
    <n v="100"/>
    <s v="PTL"/>
    <m/>
    <m/>
    <m/>
    <s v="Pending"/>
    <s v="To be Billed"/>
    <s v="No"/>
    <m/>
    <m/>
    <s v="HR69C7371"/>
    <n v="709"/>
    <n v="0"/>
    <s v="Pending"/>
    <x v="1"/>
  </r>
  <r>
    <n v="120"/>
    <s v="Sonipat"/>
    <x v="62"/>
    <x v="46"/>
    <s v="SONGOG26/22291"/>
    <x v="113"/>
    <d v="2026-08-04T00:00:00"/>
    <s v="TATA Genius DEF (4*5) - PVBU"/>
    <s v="Drona Logitech"/>
    <n v="3"/>
    <n v="60"/>
    <s v="PTL"/>
    <m/>
    <m/>
    <m/>
    <s v="Pending"/>
    <s v="To be Billed"/>
    <s v="No"/>
    <m/>
    <m/>
    <s v="HR69C7371"/>
    <n v="709"/>
    <n v="0"/>
    <s v="Pending"/>
    <x v="1"/>
  </r>
  <r>
    <n v="121"/>
    <s v="Sonipat"/>
    <x v="63"/>
    <x v="47"/>
    <s v="SONGOG26/22292"/>
    <x v="114"/>
    <d v="2026-08-04T00:00:00"/>
    <s v="TATA Genius DEF (4*5) - PVBU"/>
    <s v="Drona Logitech"/>
    <n v="3"/>
    <n v="60"/>
    <s v="PTL"/>
    <m/>
    <m/>
    <m/>
    <s v="Pending"/>
    <s v="To be Billed"/>
    <s v="No"/>
    <m/>
    <m/>
    <s v="HR69C7371"/>
    <n v="709"/>
    <n v="0"/>
    <s v="Pending"/>
    <x v="1"/>
  </r>
  <r>
    <n v="122"/>
    <s v="Sonipat"/>
    <x v="64"/>
    <x v="6"/>
    <s v="SONGOG26/22293"/>
    <x v="115"/>
    <d v="2026-08-04T00:00:00"/>
    <s v="TATA Genius DEF (6*2) - PVBU"/>
    <s v="Drona Logitech"/>
    <n v="8"/>
    <n v="96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23"/>
    <s v="Sonipat"/>
    <x v="64"/>
    <x v="6"/>
    <s v="SONGOG26/22294"/>
    <x v="116"/>
    <d v="2026-08-04T00:00:00"/>
    <s v="TATA Genius DEF (4*5) - PVBU"/>
    <s v="Drona Logitech"/>
    <n v="15"/>
    <n v="300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24"/>
    <s v="Sonipat"/>
    <x v="64"/>
    <x v="6"/>
    <s v="SONGOG26/22295"/>
    <x v="117"/>
    <d v="2026-08-04T00:00:00"/>
    <s v="TATA Genius DEF (1*10) - PVBU"/>
    <s v="Drona Logitech"/>
    <n v="30"/>
    <n v="300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25"/>
    <s v="Sonipat"/>
    <x v="65"/>
    <x v="0"/>
    <s v="SONGOG26/22296"/>
    <x v="118"/>
    <d v="2026-08-04T00:00:00"/>
    <s v="TATA Genius DEF (6*2) - PVBU"/>
    <s v="Drona Logitech"/>
    <n v="4"/>
    <n v="48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26"/>
    <s v="Sonipat"/>
    <x v="65"/>
    <x v="0"/>
    <s v="SONGOG26/22297"/>
    <x v="119"/>
    <d v="2026-08-04T00:00:00"/>
    <s v="TATA Genius DEF (1*10) - PVBU"/>
    <s v="Drona Logitech"/>
    <n v="5"/>
    <n v="50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27"/>
    <s v="Sonipat"/>
    <x v="66"/>
    <x v="39"/>
    <s v="SONGOG26/22298"/>
    <x v="120"/>
    <d v="2026-08-04T00:00:00"/>
    <s v="TATA Genius DEF (4*5) - PVBU"/>
    <s v="Drona Logitech"/>
    <n v="15"/>
    <n v="300"/>
    <s v="PTL"/>
    <d v="2026-08-07T00:00:00"/>
    <d v="2026-08-07T00:00:00"/>
    <d v="2026-08-07T00:00:00"/>
    <s v="Delivered"/>
    <s v="To be Billed"/>
    <s v="No"/>
    <m/>
    <m/>
    <s v="HR69C7371"/>
    <n v="709"/>
    <n v="0"/>
    <s v="Dispatch"/>
    <x v="0"/>
  </r>
  <r>
    <n v="128"/>
    <s v="Sonipat"/>
    <x v="67"/>
    <x v="48"/>
    <n v="716286896"/>
    <x v="121"/>
    <d v="2026-08-04T00:00:00"/>
    <s v="TATA Genius DEF (200*1) - CVBU"/>
    <s v="Drona Logitech"/>
    <n v="2"/>
    <n v="420"/>
    <s v="PTL"/>
    <m/>
    <m/>
    <m/>
    <s v="Pending"/>
    <s v="To be Billed"/>
    <s v="No"/>
    <m/>
    <m/>
    <s v="HR38Z7246"/>
    <n v="709"/>
    <n v="0"/>
    <s v="Pending"/>
    <x v="1"/>
  </r>
  <r>
    <n v="129"/>
    <s v="Sonipat"/>
    <x v="68"/>
    <x v="49"/>
    <n v="716286897"/>
    <x v="122"/>
    <d v="2026-08-04T00:00:00"/>
    <s v="TATA Genius DEF (200*1) - CVBU"/>
    <s v="Drona Logitech"/>
    <n v="2"/>
    <n v="420"/>
    <s v="PTL"/>
    <m/>
    <m/>
    <m/>
    <s v="Pending"/>
    <s v="To be Billed"/>
    <s v="No"/>
    <m/>
    <m/>
    <s v="HR38Z7246"/>
    <n v="709"/>
    <n v="0"/>
    <s v="Pending"/>
    <x v="1"/>
  </r>
  <r>
    <n v="130"/>
    <s v="Sonipat"/>
    <x v="69"/>
    <x v="13"/>
    <n v="716287008"/>
    <x v="123"/>
    <d v="2026-08-04T00:00:00"/>
    <s v="TATA Genius DEF (5*4) - CVBU"/>
    <s v="Drona Logitech"/>
    <n v="50"/>
    <n v="200"/>
    <s v="PTL"/>
    <d v="2026-08-07T00:00:00"/>
    <d v="2026-08-07T00:00:00"/>
    <d v="2026-08-07T00:00:00"/>
    <s v="Delivered"/>
    <s v="To be Billed"/>
    <s v="No"/>
    <m/>
    <m/>
    <s v="HR38Z7246"/>
    <n v="709"/>
    <n v="0"/>
    <s v="Dispatch"/>
    <x v="0"/>
  </r>
  <r>
    <n v="131"/>
    <s v="Sonipat"/>
    <x v="70"/>
    <x v="12"/>
    <n v="716287007"/>
    <x v="124"/>
    <d v="2026-08-04T00:00:00"/>
    <s v="TATA Genius DEF (1*20) - CVBU"/>
    <s v="Drona Logitech"/>
    <n v="20"/>
    <n v="400"/>
    <s v="PTL"/>
    <m/>
    <m/>
    <m/>
    <s v="Pending"/>
    <s v="To be Billed"/>
    <s v="No"/>
    <m/>
    <m/>
    <s v="HR38Z7246"/>
    <n v="709"/>
    <n v="0"/>
    <s v="Pending"/>
    <x v="1"/>
  </r>
  <r>
    <n v="132"/>
    <s v="Sonipat"/>
    <x v="71"/>
    <x v="10"/>
    <s v="SONGOG26/22299"/>
    <x v="125"/>
    <d v="2026-08-04T00:00:00"/>
    <s v="TATA Genius DEF (6*2) - PVBU"/>
    <s v="Drona Logitech"/>
    <n v="28"/>
    <n v="336"/>
    <s v="PTL"/>
    <m/>
    <m/>
    <m/>
    <s v="Pending"/>
    <s v="To be Billed"/>
    <s v="No"/>
    <m/>
    <m/>
    <s v="HR38Z7246"/>
    <n v="709"/>
    <n v="0"/>
    <s v="Pending"/>
    <x v="1"/>
  </r>
  <r>
    <n v="133"/>
    <s v="Sonipat"/>
    <x v="71"/>
    <x v="10"/>
    <s v="SONGOG26/22300"/>
    <x v="126"/>
    <d v="2026-08-04T00:00:00"/>
    <s v="TATA Genius DEF (4*5) - PVBU"/>
    <s v="Drona Logitech"/>
    <n v="33"/>
    <n v="660"/>
    <s v="PTL"/>
    <m/>
    <m/>
    <m/>
    <s v="Pending"/>
    <s v="To be Billed"/>
    <s v="No"/>
    <m/>
    <m/>
    <s v="HR38Z7246"/>
    <n v="709"/>
    <n v="0"/>
    <s v="Pending"/>
    <x v="1"/>
  </r>
  <r>
    <n v="134"/>
    <s v="Sonipat"/>
    <x v="72"/>
    <x v="8"/>
    <s v="SONGOG26/22301"/>
    <x v="127"/>
    <d v="2026-08-04T00:00:00"/>
    <s v="TATA Genius DEF (6*2) - PVBU"/>
    <s v="Drona Logitech"/>
    <n v="8"/>
    <n v="96"/>
    <s v="PTL"/>
    <d v="2026-08-06T00:00:00"/>
    <d v="2026-08-05T00:00:00"/>
    <d v="2026-08-06T00:00:00"/>
    <s v="Delivered"/>
    <s v="To be Billed"/>
    <s v="No"/>
    <m/>
    <m/>
    <s v="HR38Z7246"/>
    <n v="709"/>
    <n v="0"/>
    <s v="Dispatch"/>
    <x v="0"/>
  </r>
  <r>
    <n v="135"/>
    <s v="Sonipat"/>
    <x v="69"/>
    <x v="13"/>
    <s v="SONGOG26/22302"/>
    <x v="128"/>
    <d v="2026-08-04T00:00:00"/>
    <s v="TATA Genius DEF (1*10) - PVBU"/>
    <s v="Drona Logitech"/>
    <n v="30"/>
    <n v="300"/>
    <s v="PTL"/>
    <d v="2026-08-07T00:00:00"/>
    <d v="2026-08-07T00:00:00"/>
    <d v="2026-08-07T00:00:00"/>
    <s v="Delivered"/>
    <s v="To be Billed"/>
    <s v="No"/>
    <m/>
    <m/>
    <s v="HR38Z7246"/>
    <n v="709"/>
    <n v="0"/>
    <s v="Dispatch"/>
    <x v="0"/>
  </r>
  <r>
    <n v="136"/>
    <s v="Sonipat"/>
    <x v="69"/>
    <x v="13"/>
    <s v="SONGOG26/22303"/>
    <x v="129"/>
    <d v="2026-08-04T00:00:00"/>
    <s v="TATA Genius DEF (4*5) - PVBU"/>
    <s v="Drona Logitech"/>
    <n v="3"/>
    <n v="60"/>
    <s v="PTL"/>
    <d v="2026-08-07T00:00:00"/>
    <d v="2026-08-07T00:00:00"/>
    <d v="2026-08-07T00:00:00"/>
    <s v="Delivered"/>
    <s v="To be Billed"/>
    <s v="No"/>
    <m/>
    <m/>
    <s v="HR38Z7246"/>
    <n v="709"/>
    <n v="0"/>
    <s v="Dispatch"/>
    <x v="0"/>
  </r>
  <r>
    <n v="137"/>
    <s v="Sonipat"/>
    <x v="72"/>
    <x v="8"/>
    <s v="SONGOG26/22304"/>
    <x v="130"/>
    <d v="2026-08-04T00:00:00"/>
    <s v="TATA Genius DEF (4*5) - PVBU"/>
    <s v="Drona Logitech"/>
    <n v="12"/>
    <n v="240"/>
    <s v="PTL"/>
    <d v="2026-08-06T00:00:00"/>
    <d v="2026-08-05T00:00:00"/>
    <d v="2026-08-06T00:00:00"/>
    <s v="Delivered"/>
    <s v="To be Billed"/>
    <s v="No"/>
    <m/>
    <m/>
    <s v="HR38Z7246"/>
    <n v="709"/>
    <n v="0"/>
    <s v="Dispatch"/>
    <x v="0"/>
  </r>
  <r>
    <n v="138"/>
    <s v="Sonipat"/>
    <x v="73"/>
    <x v="47"/>
    <s v="SONGOG26/22305"/>
    <x v="131"/>
    <d v="2026-08-04T00:00:00"/>
    <s v="TATA Genius DEF (4*5) - PVBU"/>
    <s v="Drona Logitech"/>
    <n v="12"/>
    <n v="240"/>
    <s v="PTL"/>
    <m/>
    <m/>
    <m/>
    <s v="Pending"/>
    <s v="To be Billed"/>
    <s v="No"/>
    <m/>
    <m/>
    <s v="HR38Z7246"/>
    <n v="709"/>
    <n v="0"/>
    <s v="Pending"/>
    <x v="1"/>
  </r>
  <r>
    <n v="139"/>
    <s v="Sonipat"/>
    <x v="74"/>
    <x v="13"/>
    <s v="SONGOG26/22310"/>
    <x v="132"/>
    <d v="2026-08-05T00:00:00"/>
    <s v="TATA Genius DEF (10*1) - PVBU"/>
    <s v="Drona Logitech"/>
    <n v="200"/>
    <n v="2000"/>
    <s v="PTL"/>
    <d v="2026-08-07T00:00:00"/>
    <d v="2026-08-07T00:00:00"/>
    <d v="2026-08-07T00:00:00"/>
    <s v="Delivered"/>
    <s v="To be Billed"/>
    <s v="No"/>
    <m/>
    <m/>
    <s v="HR38Z7246"/>
    <n v="709"/>
    <n v="0"/>
    <s v="Dispatch"/>
    <x v="0"/>
  </r>
  <r>
    <n v="140"/>
    <s v="Sonipat"/>
    <x v="74"/>
    <x v="13"/>
    <s v="SONGOG26/22311"/>
    <x v="133"/>
    <d v="2026-08-05T00:00:00"/>
    <s v="TATA Genius DEF (4*5) - PVBU"/>
    <s v="Drona Logitech"/>
    <n v="51"/>
    <n v="1020"/>
    <s v="PTL"/>
    <d v="2026-08-07T00:00:00"/>
    <d v="2026-08-07T00:00:00"/>
    <d v="2026-08-07T00:00:00"/>
    <s v="Delivered"/>
    <s v="To be Billed"/>
    <s v="No"/>
    <m/>
    <m/>
    <s v="HR38Z7246"/>
    <n v="709"/>
    <n v="0"/>
    <s v="Dispatch"/>
    <x v="0"/>
  </r>
  <r>
    <n v="141"/>
    <s v="Sonipat"/>
    <x v="40"/>
    <x v="27"/>
    <s v="SONGOG26/22312"/>
    <x v="134"/>
    <d v="2026-08-05T00:00:00"/>
    <s v="TATA Genius DEF (4*5) - PVBU"/>
    <s v="Drona Logitech"/>
    <n v="15"/>
    <n v="300"/>
    <s v="PTL"/>
    <m/>
    <m/>
    <m/>
    <s v="Pending"/>
    <s v="To be Billed"/>
    <s v="No"/>
    <m/>
    <m/>
    <s v="HR38Z7246"/>
    <n v="709"/>
    <n v="0"/>
    <s v="Hold due to Kawad"/>
    <x v="1"/>
  </r>
  <r>
    <n v="142"/>
    <s v="Sonipat"/>
    <x v="75"/>
    <x v="50"/>
    <s v="SONGOG26/22313"/>
    <x v="135"/>
    <d v="2026-08-05T00:00:00"/>
    <s v="TATA Genius DEF (4*5) - PVBU"/>
    <s v="Drona Logitech"/>
    <n v="15"/>
    <n v="300"/>
    <s v="PTL"/>
    <m/>
    <m/>
    <m/>
    <s v="Pending"/>
    <s v="To be Billed"/>
    <s v="No"/>
    <m/>
    <m/>
    <s v="HR38Z7246"/>
    <n v="709"/>
    <n v="0"/>
    <s v="Hold due to Kawad"/>
    <x v="1"/>
  </r>
  <r>
    <n v="143"/>
    <s v="Sonipat"/>
    <x v="76"/>
    <x v="47"/>
    <s v="SONGOG26/22314"/>
    <x v="136"/>
    <d v="2026-08-05T00:00:00"/>
    <s v="TATA Genius DEF (1*10) - PVBU"/>
    <s v="Drona Logitech"/>
    <n v="15"/>
    <n v="150"/>
    <s v="PTL"/>
    <m/>
    <m/>
    <m/>
    <s v="Pending"/>
    <s v="To be Billed"/>
    <s v="No"/>
    <m/>
    <m/>
    <s v="HR38Z7246"/>
    <n v="709"/>
    <n v="0"/>
    <s v="Pending"/>
    <x v="1"/>
  </r>
  <r>
    <n v="144"/>
    <s v="Sonipat"/>
    <x v="76"/>
    <x v="47"/>
    <s v="SONGOG26/22315"/>
    <x v="137"/>
    <d v="2026-08-05T00:00:00"/>
    <s v="TATA Genius DEF (1*10) - PVBU"/>
    <s v="Drona Logitech"/>
    <n v="3"/>
    <n v="60"/>
    <s v="PTL"/>
    <m/>
    <m/>
    <m/>
    <s v="Pending"/>
    <s v="To be Billed"/>
    <s v="No"/>
    <m/>
    <m/>
    <s v="HR38Z7246"/>
    <n v="709"/>
    <n v="0"/>
    <s v="Pending"/>
    <x v="1"/>
  </r>
  <r>
    <n v="145"/>
    <s v="Sonipat"/>
    <x v="77"/>
    <x v="51"/>
    <s v="SONGOG26/22316"/>
    <x v="138"/>
    <d v="2026-08-05T00:00:00"/>
    <s v="TATA Genius DEF (4*5) - PVBU"/>
    <s v="Drona Logitech"/>
    <n v="18"/>
    <n v="360"/>
    <s v="PTL"/>
    <m/>
    <m/>
    <m/>
    <s v="Pending"/>
    <s v="To be Billed"/>
    <s v="No"/>
    <m/>
    <m/>
    <s v="HR38Z7246"/>
    <n v="709"/>
    <n v="0"/>
    <s v="Hold due to Kawad"/>
    <x v="1"/>
  </r>
  <r>
    <n v="146"/>
    <s v="Sonipat"/>
    <x v="77"/>
    <x v="51"/>
    <s v="SONGOG26/22317"/>
    <x v="139"/>
    <d v="2026-08-05T00:00:00"/>
    <s v="TATA Genius DEF (6*2) - PVBU"/>
    <s v="Drona Logitech"/>
    <n v="8"/>
    <n v="96"/>
    <s v="PTL"/>
    <m/>
    <m/>
    <m/>
    <s v="Pending"/>
    <s v="To be Billed"/>
    <s v="No"/>
    <m/>
    <m/>
    <s v="HR38Z7246"/>
    <n v="709"/>
    <n v="0"/>
    <s v="Hold due to Kawad"/>
    <x v="1"/>
  </r>
  <r>
    <n v="147"/>
    <s v="Sonipat"/>
    <x v="78"/>
    <x v="52"/>
    <s v="SONGOG26/22318"/>
    <x v="140"/>
    <d v="2026-08-05T00:00:00"/>
    <s v="TATA Genius DEF (4*5) - PVBU"/>
    <s v="Drona Logitech"/>
    <n v="9"/>
    <n v="180"/>
    <s v="PTL"/>
    <d v="2026-08-11T00:00:00"/>
    <d v="2026-08-10T00:00:00"/>
    <d v="2026-08-10T00:00:00"/>
    <s v="Delivered"/>
    <s v="To be Billed"/>
    <s v="No"/>
    <m/>
    <m/>
    <s v="HR38Z7246"/>
    <n v="709"/>
    <n v="0"/>
    <s v="Dispatch"/>
    <x v="0"/>
  </r>
  <r>
    <n v="148"/>
    <s v="Sonipat"/>
    <x v="78"/>
    <x v="52"/>
    <s v="SONGOG26/22319"/>
    <x v="141"/>
    <d v="2026-08-05T00:00:00"/>
    <s v="TATA Genius DEF (1*10) - PVBU"/>
    <s v="Drona Logitech"/>
    <n v="10"/>
    <n v="100"/>
    <s v="PTL"/>
    <d v="2026-08-11T00:00:00"/>
    <d v="2026-08-10T00:00:00"/>
    <d v="2026-08-10T00:00:00"/>
    <s v="Delivered"/>
    <s v="To be Billed"/>
    <s v="No"/>
    <m/>
    <m/>
    <s v="HR38Z7246"/>
    <n v="709"/>
    <n v="0"/>
    <s v="Dispatch"/>
    <x v="0"/>
  </r>
  <r>
    <n v="149"/>
    <s v="Sonipat"/>
    <x v="79"/>
    <x v="52"/>
    <s v="SONGOG26/22347"/>
    <x v="141"/>
    <d v="2026-08-07T00:00:00"/>
    <s v="TATA Genius DEF (4*5) - PVBU"/>
    <s v="Drona Logitech"/>
    <n v="6"/>
    <n v="120"/>
    <s v="PTL"/>
    <d v="2026-08-11T00:00:00"/>
    <d v="2026-08-10T00:00:00"/>
    <d v="2026-08-10T00:00:00"/>
    <s v="Delivered"/>
    <s v="To be Billed"/>
    <s v="No"/>
    <m/>
    <m/>
    <s v="HR69G3673"/>
    <n v="709"/>
    <n v="0"/>
    <s v="Dispatch"/>
    <x v="0"/>
  </r>
  <r>
    <n v="150"/>
    <s v="Sonipat"/>
    <x v="80"/>
    <x v="0"/>
    <s v="SONGOG26/22320"/>
    <x v="142"/>
    <d v="2026-08-05T00:00:00"/>
    <s v="TATA Genius DEF (1*10) - PVBU"/>
    <s v="Drona Logitech"/>
    <n v="10"/>
    <n v="100"/>
    <s v="PTL"/>
    <d v="2026-08-12T00:00:00"/>
    <d v="2026-08-12T00:00:00"/>
    <d v="2026-08-13T00:00:00"/>
    <s v="Delivered"/>
    <s v="To be Billed"/>
    <s v="No"/>
    <m/>
    <m/>
    <s v="HR38Z7246"/>
    <n v="709"/>
    <n v="0"/>
    <s v="Dispatch"/>
    <x v="0"/>
  </r>
  <r>
    <n v="151"/>
    <s v="Sonipat"/>
    <x v="80"/>
    <x v="0"/>
    <s v="SONGOG26/22321"/>
    <x v="143"/>
    <d v="2026-08-05T00:00:00"/>
    <s v="TATA Genius DEF (4*5) - PVBU"/>
    <s v="Drona Logitech"/>
    <n v="3"/>
    <n v="60"/>
    <s v="PTL"/>
    <d v="2026-08-12T00:00:00"/>
    <d v="2026-08-12T00:00:00"/>
    <d v="2026-08-13T00:00:00"/>
    <s v="Delivered"/>
    <s v="To be Billed"/>
    <s v="No"/>
    <m/>
    <m/>
    <s v="HR38Z7246"/>
    <n v="709"/>
    <n v="0"/>
    <s v="Dispatch"/>
    <x v="0"/>
  </r>
  <r>
    <n v="152"/>
    <s v="Sonipat"/>
    <x v="80"/>
    <x v="0"/>
    <s v="SONGOG26/22322"/>
    <x v="144"/>
    <d v="2026-08-05T00:00:00"/>
    <s v="TATA Genius DEF (6*2) - PVBU"/>
    <s v="Drona Logitech"/>
    <n v="4"/>
    <n v="48"/>
    <s v="PTL"/>
    <d v="2026-08-12T00:00:00"/>
    <d v="2026-08-12T00:00:00"/>
    <d v="2026-08-13T00:00:00"/>
    <s v="Delivered"/>
    <s v="To be Billed"/>
    <s v="No"/>
    <m/>
    <m/>
    <s v="HR38Z7246"/>
    <n v="709"/>
    <n v="0"/>
    <s v="Dispatch"/>
    <x v="0"/>
  </r>
  <r>
    <n v="153"/>
    <s v="Sonipat"/>
    <x v="81"/>
    <x v="53"/>
    <s v="SONGOG26/22323"/>
    <x v="145"/>
    <d v="2026-08-05T00:00:00"/>
    <s v="TATA Genius DEF (4*5) - PVBU"/>
    <s v="Drona Logitech"/>
    <n v="24"/>
    <n v="480"/>
    <s v="PTL"/>
    <m/>
    <m/>
    <m/>
    <s v="Pending"/>
    <s v="To be Billed"/>
    <s v="No"/>
    <m/>
    <m/>
    <s v="HR38Z7246"/>
    <n v="709"/>
    <n v="0"/>
    <s v="Pending"/>
    <x v="1"/>
  </r>
  <r>
    <n v="154"/>
    <s v="Sonipat"/>
    <x v="82"/>
    <x v="0"/>
    <s v="SONGOG26/22324"/>
    <x v="146"/>
    <d v="2026-08-05T00:00:00"/>
    <s v="TATA Genius DEF (1*10) - PVBU"/>
    <s v="Drona Logitech"/>
    <n v="15"/>
    <n v="150"/>
    <s v="PTL"/>
    <d v="2026-08-12T00:00:00"/>
    <d v="2026-08-12T00:00:00"/>
    <d v="2026-08-13T00:00:00"/>
    <s v="Delivered"/>
    <s v="To be Billed"/>
    <s v="No"/>
    <m/>
    <m/>
    <s v="HR38Z7246"/>
    <n v="709"/>
    <n v="0"/>
    <s v="Dispatch"/>
    <x v="0"/>
  </r>
  <r>
    <n v="155"/>
    <s v="Sonipat"/>
    <x v="82"/>
    <x v="0"/>
    <s v="SONGOG26/22325"/>
    <x v="147"/>
    <d v="2026-08-05T00:00:00"/>
    <s v="TATA Genius DEF (4*5) - PVBU"/>
    <s v="Drona Logitech"/>
    <n v="18"/>
    <n v="360"/>
    <s v="PTL"/>
    <d v="2026-08-12T00:00:00"/>
    <d v="2026-08-12T00:00:00"/>
    <d v="2026-08-13T00:00:00"/>
    <s v="Delivered"/>
    <s v="To be Billed"/>
    <s v="No"/>
    <m/>
    <m/>
    <s v="HR38Z7246"/>
    <n v="709"/>
    <n v="0"/>
    <s v="Dispatch"/>
    <x v="0"/>
  </r>
  <r>
    <n v="156"/>
    <s v="Sonipat"/>
    <x v="82"/>
    <x v="0"/>
    <s v="SONGOG26/22326"/>
    <x v="148"/>
    <d v="2026-08-05T00:00:00"/>
    <s v="TATA Genius DEF (6*2) - PVBU"/>
    <s v="Drona Logitech"/>
    <n v="8"/>
    <n v="96"/>
    <s v="PTL"/>
    <d v="2026-08-12T00:00:00"/>
    <d v="2026-08-12T00:00:00"/>
    <d v="2026-08-13T00:00:00"/>
    <s v="Delivered"/>
    <s v="To be Billed"/>
    <s v="No"/>
    <m/>
    <m/>
    <s v="HR38Z7246"/>
    <n v="709"/>
    <n v="0"/>
    <s v="Dispatch"/>
    <x v="0"/>
  </r>
  <r>
    <n v="157"/>
    <s v="Sonipat"/>
    <x v="83"/>
    <x v="7"/>
    <s v="SONGOG26/22327"/>
    <x v="149"/>
    <d v="2026-08-05T00:00:00"/>
    <s v="TATA Genius DEF (4*5) - PVBU"/>
    <s v="Drona Logitech"/>
    <n v="12"/>
    <n v="240"/>
    <s v="PTL"/>
    <m/>
    <m/>
    <m/>
    <s v="Pending"/>
    <s v="To be Billed"/>
    <s v="No"/>
    <m/>
    <m/>
    <s v="HR38Z7246"/>
    <n v="709"/>
    <n v="0"/>
    <s v="Pending"/>
    <x v="1"/>
  </r>
  <r>
    <n v="158"/>
    <s v="Sonipat"/>
    <x v="83"/>
    <x v="7"/>
    <s v="SONGOG26/22328"/>
    <x v="150"/>
    <d v="2026-08-05T00:00:00"/>
    <s v="TATA Genius DEF (1*10) - PVBU"/>
    <s v="Drona Logitech"/>
    <n v="20"/>
    <n v="200"/>
    <s v="PTL"/>
    <m/>
    <m/>
    <m/>
    <s v="Pending"/>
    <s v="To be Billed"/>
    <s v="No"/>
    <m/>
    <m/>
    <s v="HR38Z7246"/>
    <n v="709"/>
    <n v="0"/>
    <s v="Pending"/>
    <x v="1"/>
  </r>
  <r>
    <n v="159"/>
    <s v="Sonipat"/>
    <x v="79"/>
    <x v="52"/>
    <s v="SONGOG26/22348"/>
    <x v="151"/>
    <d v="2026-08-07T00:00:00"/>
    <s v="TATA Genius DEF (1*10) - PVBU"/>
    <s v="Drona Logitech"/>
    <n v="30"/>
    <n v="300"/>
    <s v="PTL"/>
    <d v="2026-08-11T00:00:00"/>
    <d v="2026-08-10T00:00:00"/>
    <d v="2026-08-10T00:00:00"/>
    <s v="Delivered"/>
    <s v="To be Billed"/>
    <s v="No"/>
    <m/>
    <m/>
    <s v="HR69G3673"/>
    <n v="709"/>
    <n v="0"/>
    <s v="Dispatch"/>
    <x v="0"/>
  </r>
  <r>
    <n v="160"/>
    <s v="Sonipat"/>
    <x v="79"/>
    <x v="52"/>
    <s v="SONGOG26/22346"/>
    <x v="152"/>
    <d v="2026-08-07T00:00:00"/>
    <s v="TATA Genius DEF (1*20) - PVBU"/>
    <s v="Drona Logitech"/>
    <n v="300"/>
    <n v="6000"/>
    <s v="PTL"/>
    <d v="2026-08-11T00:00:00"/>
    <d v="2026-08-10T00:00:00"/>
    <d v="2026-08-10T00:00:00"/>
    <s v="Delivered"/>
    <s v="To be Billed"/>
    <s v="No"/>
    <m/>
    <m/>
    <s v="HR69G3673"/>
    <n v="709"/>
    <n v="0"/>
    <s v="Dispatch"/>
    <x v="0"/>
  </r>
  <r>
    <n v="161"/>
    <s v="Sonipat"/>
    <x v="84"/>
    <x v="54"/>
    <s v="JHUSO26/433653"/>
    <x v="153"/>
    <d v="2026-08-07T00:00:00"/>
    <s v="TATA Genius DEF (1*20) - PVBU"/>
    <s v="Drona Logitech"/>
    <n v="101"/>
    <n v="101"/>
    <s v="PTL"/>
    <d v="2026-08-11T00:00:00"/>
    <d v="2026-08-10T00:00:00"/>
    <d v="2026-08-10T00:00:00"/>
    <s v="Delivered"/>
    <s v="To be Billed"/>
    <s v="No"/>
    <m/>
    <m/>
    <s v="HR69G3673"/>
    <n v="709"/>
    <n v="0"/>
    <s v="Dispatch"/>
    <x v="0"/>
  </r>
  <r>
    <n v="162"/>
    <s v="Sonipat"/>
    <x v="2"/>
    <x v="0"/>
    <s v="SONGOG26/22373"/>
    <x v="154"/>
    <d v="2026-08-07T00:00:00"/>
    <s v="TATA Genius DEF (4*5) - PVBU"/>
    <s v="Drona Logitech"/>
    <n v="15"/>
    <n v="300"/>
    <s v="PTL"/>
    <d v="2026-08-12T00:00:00"/>
    <d v="2026-08-12T00:00:00"/>
    <d v="2026-08-13T00:00:00"/>
    <s v="Delivered"/>
    <s v="To be Billed"/>
    <s v="No"/>
    <m/>
    <m/>
    <s v="HR69G3673"/>
    <n v="709"/>
    <n v="0"/>
    <s v="Dispatch"/>
    <x v="0"/>
  </r>
  <r>
    <n v="163"/>
    <s v="Sonipat"/>
    <x v="2"/>
    <x v="0"/>
    <s v="SONGOG26/22374"/>
    <x v="155"/>
    <d v="2026-08-07T00:00:00"/>
    <s v="TATA Genius DEF (6*2) - PVBU"/>
    <s v="Drona Logitech"/>
    <n v="8"/>
    <n v="96"/>
    <s v="PTL"/>
    <d v="2026-08-12T00:00:00"/>
    <d v="2026-08-12T00:00:00"/>
    <d v="2026-08-13T00:00:00"/>
    <s v="Delivered"/>
    <s v="To be Billed"/>
    <s v="No"/>
    <m/>
    <m/>
    <s v="HR69G3673"/>
    <n v="709"/>
    <n v="0"/>
    <s v="Dispatch"/>
    <x v="0"/>
  </r>
  <r>
    <n v="164"/>
    <s v="Sonipat"/>
    <x v="2"/>
    <x v="0"/>
    <s v="SONGOG26/22372"/>
    <x v="156"/>
    <d v="2026-08-07T00:00:00"/>
    <s v="TATA Genius DEF (1*10) - PVBU"/>
    <s v="Drona Logitech"/>
    <n v="30"/>
    <n v="300"/>
    <s v="PTL"/>
    <d v="2026-08-12T00:00:00"/>
    <d v="2026-08-12T00:00:00"/>
    <d v="2026-08-13T00:00:00"/>
    <s v="Delivered"/>
    <s v="To be Billed"/>
    <s v="No"/>
    <m/>
    <m/>
    <s v="HR69G3673"/>
    <n v="709"/>
    <n v="0"/>
    <s v="Dispatch"/>
    <x v="0"/>
  </r>
  <r>
    <n v="165"/>
    <s v="Sonipat"/>
    <x v="0"/>
    <x v="0"/>
    <s v="SONGOG26/22336"/>
    <x v="157"/>
    <d v="2026-08-07T00:00:00"/>
    <s v="TATA Genius DEF (1*10) - PVBU"/>
    <s v="Drona Logitech"/>
    <n v="20"/>
    <n v="200"/>
    <s v="PTL"/>
    <d v="2026-08-12T00:00:00"/>
    <d v="2026-08-12T00:00:00"/>
    <d v="2026-08-13T00:00:00"/>
    <s v="Delivered"/>
    <s v="To be Billed"/>
    <s v="No"/>
    <m/>
    <m/>
    <s v="HR69G3673"/>
    <n v="709"/>
    <n v="0"/>
    <s v="Dispatch"/>
    <x v="0"/>
  </r>
  <r>
    <n v="166"/>
    <s v="Sonipat"/>
    <x v="85"/>
    <x v="45"/>
    <s v="JHUSO26/433788"/>
    <x v="158"/>
    <d v="2026-08-10T00:00:00"/>
    <s v="TATA Motors HP Genuine Def - 1*20L"/>
    <s v="Drona Logitech"/>
    <n v="50"/>
    <n v="10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67"/>
    <s v="Sonipat"/>
    <x v="85"/>
    <x v="45"/>
    <s v="JHUSO26/433788"/>
    <x v="158"/>
    <d v="2026-08-10T00:00:00"/>
    <s v="TATA Motors HP Genuine Def - 1*20L"/>
    <s v="Drona Logitech"/>
    <n v="3"/>
    <n v="6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68"/>
    <s v="Sonipat"/>
    <x v="86"/>
    <x v="45"/>
    <s v="JHUSO26/433794"/>
    <x v="159"/>
    <d v="2026-08-10T00:00:00"/>
    <s v="TATA Motors HP Genuine Def - 1*20L"/>
    <s v="Drona Logitech"/>
    <n v="25"/>
    <n v="5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69"/>
    <s v="Sonipat"/>
    <x v="86"/>
    <x v="45"/>
    <s v="JHUSO26/433794"/>
    <x v="159"/>
    <d v="2026-08-10T00:00:00"/>
    <s v="TATA Motors HP Genuine Def - 1*20L"/>
    <s v="Drona Logitech"/>
    <n v="1"/>
    <n v="2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0"/>
    <s v="Sonipat"/>
    <x v="87"/>
    <x v="45"/>
    <s v="JHUSO26/433795"/>
    <x v="160"/>
    <d v="2026-08-10T00:00:00"/>
    <s v="TATA Motors HP Genuine Def - 1*20L"/>
    <s v="Drona Logitech"/>
    <n v="25"/>
    <n v="5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1"/>
    <s v="Sonipat"/>
    <x v="87"/>
    <x v="45"/>
    <s v="JHUSO26/433795"/>
    <x v="160"/>
    <d v="2026-08-10T00:00:00"/>
    <s v="TATA Motors HP Genuine Def - 1*20L"/>
    <s v="Drona Logitech"/>
    <n v="1"/>
    <n v="2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2"/>
    <s v="Sonipat"/>
    <x v="88"/>
    <x v="45"/>
    <s v="JHUSO26/433796"/>
    <x v="161"/>
    <d v="2026-08-10T00:00:00"/>
    <s v="TATA Motors HP Genuine Def - 1*20L"/>
    <s v="Drona Logitech"/>
    <n v="100"/>
    <n v="20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3"/>
    <s v="Sonipat"/>
    <x v="88"/>
    <x v="45"/>
    <s v="JHUSO26/433796"/>
    <x v="161"/>
    <d v="2026-08-10T00:00:00"/>
    <s v="TATA Motors HP Genuine Def - 1*20L"/>
    <s v="Drona Logitech"/>
    <n v="8"/>
    <n v="16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4"/>
    <s v="Sonipat"/>
    <x v="89"/>
    <x v="45"/>
    <s v="JHUSO26/433797"/>
    <x v="162"/>
    <d v="2026-08-10T00:00:00"/>
    <s v="TATA Motors HP Genuine Def - 1*20L"/>
    <s v="Drona Logitech"/>
    <n v="25"/>
    <n v="5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5"/>
    <s v="Sonipat"/>
    <x v="89"/>
    <x v="45"/>
    <s v="JHUSO26/433797"/>
    <x v="162"/>
    <d v="2026-08-10T00:00:00"/>
    <s v="TATA Motors HP Genuine Def - 1*20L"/>
    <s v="Drona Logitech"/>
    <n v="1"/>
    <n v="2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6"/>
    <s v="Sonipat"/>
    <x v="90"/>
    <x v="45"/>
    <s v="JHUSO26/433798"/>
    <x v="163"/>
    <d v="2026-08-10T00:00:00"/>
    <s v="TATA Motors HP Genuine Def - 1*20L"/>
    <s v="Drona Logitech"/>
    <n v="25"/>
    <n v="5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7"/>
    <s v="Sonipat"/>
    <x v="90"/>
    <x v="45"/>
    <s v="JHUSO26/433798"/>
    <x v="163"/>
    <d v="2026-08-10T00:00:00"/>
    <s v="TATA Motors HP Genuine Def - 1*20L"/>
    <s v="Drona Logitech"/>
    <n v="1"/>
    <n v="2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8"/>
    <s v="Sonipat"/>
    <x v="91"/>
    <x v="45"/>
    <s v="JHUSO26/433799"/>
    <x v="164"/>
    <d v="2026-08-10T00:00:00"/>
    <s v="TATA Motors HP Genuine Def - 1*20L"/>
    <s v="Drona Logitech"/>
    <n v="25"/>
    <n v="5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79"/>
    <s v="Sonipat"/>
    <x v="91"/>
    <x v="45"/>
    <s v="JHUSO26/433799"/>
    <x v="164"/>
    <d v="2026-08-10T00:00:00"/>
    <s v="TATA Motors HP Genuine Def - 1*20L"/>
    <s v="Drona Logitech"/>
    <n v="1"/>
    <n v="2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80"/>
    <s v="Sonipat"/>
    <x v="92"/>
    <x v="45"/>
    <s v="JHUSO26/433803"/>
    <x v="165"/>
    <d v="2026-08-10T00:00:00"/>
    <s v="TATA Motors HP Genuine Def - 1*20L"/>
    <s v="Drona Logitech"/>
    <n v="25"/>
    <n v="50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81"/>
    <s v="Sonipat"/>
    <x v="92"/>
    <x v="45"/>
    <s v="JHUSO26/433803"/>
    <x v="165"/>
    <d v="2026-08-10T00:00:00"/>
    <s v="TATA Motors HP Genuine Def - 1*20L"/>
    <s v="Drona Logitech"/>
    <n v="1"/>
    <n v="20"/>
    <s v="PTL"/>
    <d v="2026-08-13T00:00:00"/>
    <d v="2026-08-13T00:00:00"/>
    <d v="2026-08-12T00:00:00"/>
    <s v="Delivered"/>
    <s v="To be Billed"/>
    <s v="No"/>
    <m/>
    <m/>
    <s v="HR38Z7246"/>
    <n v="709"/>
    <n v="0"/>
    <s v="Pending"/>
    <x v="0"/>
  </r>
  <r>
    <n v="182"/>
    <s v="Sonipat"/>
    <x v="55"/>
    <x v="52"/>
    <s v="SONGOG26/22670"/>
    <x v="166"/>
    <d v="2026-08-07T00:00:00"/>
    <s v="TATA Genius DEF (4*5) - PVBU"/>
    <s v="Drona Logitech"/>
    <n v="6"/>
    <n v="120"/>
    <s v="PTL"/>
    <d v="2026-08-11T00:00:00"/>
    <d v="2026-08-10T00:00:00"/>
    <d v="2026-08-10T00:00:00"/>
    <s v="Delivered"/>
    <s v="To be Billed"/>
    <s v="No"/>
    <m/>
    <m/>
    <s v="HR38Z7246"/>
    <n v="709"/>
    <n v="0"/>
    <s v="Dispatch"/>
    <x v="0"/>
  </r>
  <r>
    <n v="183"/>
    <s v="Sonipat"/>
    <x v="93"/>
    <x v="45"/>
    <s v="JHUSO26/433802"/>
    <x v="167"/>
    <d v="2026-08-11T00:00:00"/>
    <s v="TATA Motors HP Genuine Def - 1*20L"/>
    <s v="Drona Logitech"/>
    <n v="50"/>
    <n v="10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84"/>
    <s v="Sonipat"/>
    <x v="93"/>
    <x v="45"/>
    <s v="JHUSO26/433802"/>
    <x v="167"/>
    <d v="2026-08-11T00:00:00"/>
    <s v="TATA Motors HP Genuine Def - 1*20L"/>
    <s v="Drona Logitech"/>
    <n v="3"/>
    <n v="6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85"/>
    <s v="Sonipat"/>
    <x v="94"/>
    <x v="45"/>
    <s v="JHU026/433804"/>
    <x v="168"/>
    <d v="2026-08-11T00:00:00"/>
    <s v="TATA Motors HP Genuine Def - 1*20L"/>
    <s v="Drona Logitech"/>
    <n v="50"/>
    <n v="10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86"/>
    <s v="Sonipat"/>
    <x v="94"/>
    <x v="45"/>
    <s v="JHU026/433804"/>
    <x v="168"/>
    <d v="2026-08-11T00:00:00"/>
    <s v="TATA Motors HP Genuine Def - 1*20L"/>
    <s v="Drona Logitech"/>
    <n v="3"/>
    <n v="6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87"/>
    <s v="Sonipat"/>
    <x v="95"/>
    <x v="45"/>
    <s v="JHU026/433805"/>
    <x v="169"/>
    <d v="2026-08-11T00:00:00"/>
    <s v="TATA Motors HP Genuine Def - 1*20L"/>
    <s v="Drona Logitech"/>
    <n v="25"/>
    <n v="5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88"/>
    <s v="Sonipat"/>
    <x v="95"/>
    <x v="45"/>
    <s v="JHU026/433805"/>
    <x v="169"/>
    <d v="2026-08-11T00:00:00"/>
    <s v="TATA Motors HP Genuine Def - 1*20L"/>
    <s v="Drona Logitech"/>
    <n v="1"/>
    <n v="2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89"/>
    <s v="Sonipat"/>
    <x v="96"/>
    <x v="45"/>
    <s v="JHU026/433808"/>
    <x v="170"/>
    <d v="2026-08-11T00:00:00"/>
    <s v="TATA Motors HP Genuine Def - 1*20L"/>
    <s v="Drona Logitech"/>
    <n v="25"/>
    <n v="5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0"/>
    <s v="Sonipat"/>
    <x v="96"/>
    <x v="45"/>
    <s v="JHU026/433808"/>
    <x v="170"/>
    <d v="2026-08-11T00:00:00"/>
    <s v="TATA Motors HP Genuine Def - 1*20L"/>
    <s v="Drona Logitech"/>
    <n v="1"/>
    <n v="2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1"/>
    <s v="Sonipat"/>
    <x v="97"/>
    <x v="6"/>
    <s v="JHU026/433785"/>
    <x v="171"/>
    <d v="2026-08-11T00:00:00"/>
    <s v="TATA Motors HP Genuine Def - 4*5L"/>
    <s v="Drona Logitech"/>
    <n v="25"/>
    <n v="1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2"/>
    <s v="Sonipat"/>
    <x v="97"/>
    <x v="6"/>
    <s v="JHU026/433785"/>
    <x v="171"/>
    <d v="2026-08-11T00:00:00"/>
    <s v="TATA Motors HP Genuine Def - 4*5L"/>
    <s v="Drona Logitech"/>
    <n v="3"/>
    <n v="12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3"/>
    <s v="Sonipat"/>
    <x v="98"/>
    <x v="6"/>
    <s v="JHU026/433786"/>
    <x v="172"/>
    <d v="2026-08-11T00:00:00"/>
    <s v="TATA Motors HP Genuine Def - 1*20L"/>
    <s v="Drona Logitech"/>
    <n v="50"/>
    <n v="10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4"/>
    <s v="Sonipat"/>
    <x v="98"/>
    <x v="6"/>
    <s v="JHU026/433786"/>
    <x v="172"/>
    <d v="2026-08-11T00:00:00"/>
    <s v="TATA Motors HP Genuine Def - 1*20L"/>
    <s v="Drona Logitech"/>
    <n v="3"/>
    <n v="6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5"/>
    <s v="Sonipat"/>
    <x v="99"/>
    <x v="6"/>
    <s v="JHU026/433787"/>
    <x v="173"/>
    <d v="2026-08-11T00:00:00"/>
    <s v="TATA Motors HP Genuine Def - 1*20L"/>
    <s v="Drona Logitech"/>
    <n v="25"/>
    <n v="5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6"/>
    <s v="Sonipat"/>
    <x v="99"/>
    <x v="6"/>
    <s v="JHU026/433787"/>
    <x v="173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7"/>
    <s v="Sonipat"/>
    <x v="100"/>
    <x v="6"/>
    <s v="JHU026/433791"/>
    <x v="174"/>
    <d v="2026-08-11T00:00:00"/>
    <s v="TATA Motors HP Genuine Def - 1*20L"/>
    <s v="Drona Logitech"/>
    <n v="25"/>
    <n v="5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8"/>
    <s v="Sonipat"/>
    <x v="100"/>
    <x v="6"/>
    <s v="JHU026/433791"/>
    <x v="174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199"/>
    <s v="Sonipat"/>
    <x v="101"/>
    <x v="6"/>
    <s v="JHU026/433792"/>
    <x v="175"/>
    <d v="2026-08-11T00:00:00"/>
    <s v="TATA Motors HP Genuine Def - 1*20L"/>
    <s v="Drona Logitech"/>
    <n v="25"/>
    <n v="5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0"/>
    <s v="Sonipat"/>
    <x v="101"/>
    <x v="6"/>
    <s v="JHU026/433792"/>
    <x v="175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1"/>
    <s v="Sonipat"/>
    <x v="102"/>
    <x v="6"/>
    <s v="JHU026/433793"/>
    <x v="176"/>
    <d v="2026-08-11T00:00:00"/>
    <s v="TATA Motors HP Genuine Def - 1*20L"/>
    <s v="Drona Logitech"/>
    <n v="50"/>
    <n v="10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2"/>
    <s v="Sonipat"/>
    <x v="102"/>
    <x v="6"/>
    <s v="JHU026/433793"/>
    <x v="176"/>
    <d v="2026-08-11T00:00:00"/>
    <s v="TATA Motors HP Genuine Def - 1*20L"/>
    <s v="Drona Logitech"/>
    <n v="3"/>
    <n v="6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3"/>
    <s v="Sonipat"/>
    <x v="103"/>
    <x v="6"/>
    <s v="JHU026/433811"/>
    <x v="177"/>
    <d v="2026-08-11T00:00:00"/>
    <s v="TATA Motors HP Genuine Def - 1*20L"/>
    <s v="Drona Logitech"/>
    <n v="25"/>
    <n v="50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4"/>
    <s v="Sonipat"/>
    <x v="103"/>
    <x v="6"/>
    <s v="JHU026/433811"/>
    <x v="177"/>
    <d v="2026-08-11T00:00:00"/>
    <s v="TATA Motors HP Genuine Def - 1*20L"/>
    <s v="Drona Logitech"/>
    <n v="1"/>
    <n v="2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5"/>
    <s v="Sonipat"/>
    <x v="104"/>
    <x v="6"/>
    <s v="JHU026/433790"/>
    <x v="178"/>
    <d v="2026-08-11T00:00:00"/>
    <s v="TATA Motors HP Genuine Def - 1*20L"/>
    <s v="Drona Logitech"/>
    <n v="50"/>
    <n v="50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6"/>
    <s v="Sonipat"/>
    <x v="104"/>
    <x v="6"/>
    <s v="JHU026/433790"/>
    <x v="178"/>
    <d v="2026-08-11T00:00:00"/>
    <s v="TATA Motors HP Genuine Def - 1*20L"/>
    <s v="Drona Logitech"/>
    <n v="3"/>
    <n v="3"/>
    <s v="PTL"/>
    <d v="2026-08-13T00:00:00"/>
    <d v="2026-08-13T00:00:00"/>
    <m/>
    <s v="In transit"/>
    <s v="To be Billed"/>
    <s v="No"/>
    <m/>
    <m/>
    <s v="HR55AJ0314"/>
    <n v="709"/>
    <n v="0"/>
    <s v="Pending"/>
    <x v="0"/>
  </r>
  <r>
    <n v="207"/>
    <s v="Sonipat"/>
    <x v="105"/>
    <x v="55"/>
    <n v="716286942"/>
    <x v="179"/>
    <d v="2026-08-11T00:00:00"/>
    <s v="TATA Motors HP Genuine Def - 1*20L"/>
    <s v="Drona Logitech"/>
    <n v="20"/>
    <n v="300"/>
    <s v="PTL"/>
    <d v="2026-08-13T00:00:00"/>
    <d v="2026-08-13T00:00:00"/>
    <m/>
    <s v="In transit"/>
    <s v="To be Billed"/>
    <s v="No"/>
    <m/>
    <m/>
    <s v="HR55BA8405"/>
    <n v="709"/>
    <n v="0"/>
    <s v="Pending"/>
    <x v="0"/>
  </r>
  <r>
    <n v="208"/>
    <s v="Sonipat"/>
    <x v="105"/>
    <x v="55"/>
    <n v="716287011"/>
    <x v="180"/>
    <d v="2026-08-11T00:00:00"/>
    <s v="TATA Motors HP Genuine Def - 1*20L"/>
    <s v="Drona Logitech"/>
    <n v="100"/>
    <n v="2000"/>
    <s v="PTL"/>
    <d v="2026-08-13T00:00:00"/>
    <d v="2026-08-13T00:00:00"/>
    <m/>
    <s v="In transit"/>
    <s v="To be Billed"/>
    <s v="No"/>
    <m/>
    <m/>
    <s v="HR69D2486"/>
    <n v="709"/>
    <n v="0"/>
    <s v="Pending"/>
    <x v="0"/>
  </r>
  <r>
    <n v="209"/>
    <s v="Sonipat"/>
    <x v="105"/>
    <x v="55"/>
    <n v="716287009"/>
    <x v="181"/>
    <d v="2026-08-11T00:00:00"/>
    <s v="TATA Motors HP Genuine Def - 1*20L"/>
    <s v="Drona Logitech"/>
    <n v="200"/>
    <n v="4000"/>
    <s v="PTL"/>
    <d v="2026-08-13T00:00:00"/>
    <d v="2026-08-13T00:00:00"/>
    <m/>
    <s v="In transit"/>
    <s v="To be Billed"/>
    <s v="No"/>
    <m/>
    <m/>
    <s v="HR69D2486"/>
    <n v="709"/>
    <n v="0"/>
    <s v="Pending"/>
    <x v="0"/>
  </r>
  <r>
    <n v="210"/>
    <s v="Sonipat"/>
    <x v="106"/>
    <x v="45"/>
    <s v="JHU026/433800"/>
    <x v="182"/>
    <d v="2026-08-11T00:00:00"/>
    <s v="TATA Motors HP Genuine Def - 1*20L"/>
    <s v="Drona Logitech"/>
    <n v="25"/>
    <n v="25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1"/>
    <s v="Sonipat"/>
    <x v="106"/>
    <x v="45"/>
    <s v="JHU026/433800"/>
    <x v="182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2"/>
    <s v="Sonipat"/>
    <x v="107"/>
    <x v="45"/>
    <s v="JHU026/433801"/>
    <x v="183"/>
    <d v="2026-08-11T00:00:00"/>
    <s v="TATA Motors HP Genuine Def - 1*20L"/>
    <s v="Drona Logitech"/>
    <n v="25"/>
    <n v="25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3"/>
    <s v="Sonipat"/>
    <x v="107"/>
    <x v="45"/>
    <s v="JHU026/433801"/>
    <x v="183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4"/>
    <s v="Sonipat"/>
    <x v="108"/>
    <x v="45"/>
    <s v="JHU026/433807"/>
    <x v="184"/>
    <d v="2026-08-11T00:00:00"/>
    <s v="TATA Motors HP Genuine Def - 1*20L"/>
    <s v="Drona Logitech"/>
    <n v="100"/>
    <n v="100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5"/>
    <s v="Sonipat"/>
    <x v="108"/>
    <x v="45"/>
    <s v="JHU026/433807"/>
    <x v="184"/>
    <d v="2026-08-11T00:00:00"/>
    <s v="TATA Motors HP Genuine Def - 1*20L"/>
    <s v="Drona Logitech"/>
    <n v="8"/>
    <n v="8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6"/>
    <s v="Sonipat"/>
    <x v="109"/>
    <x v="45"/>
    <s v="JHU026/433809"/>
    <x v="185"/>
    <d v="2026-08-11T00:00:00"/>
    <s v="TATA Motors HP Genuine Def - 1*20L"/>
    <s v="Drona Logitech"/>
    <n v="50"/>
    <n v="50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7"/>
    <s v="Sonipat"/>
    <x v="109"/>
    <x v="45"/>
    <s v="JHU026/433809"/>
    <x v="185"/>
    <d v="2026-08-11T00:00:00"/>
    <s v="TATA Motors HP Genuine Def - 1*20L"/>
    <s v="Drona Logitech"/>
    <n v="3"/>
    <n v="3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8"/>
    <s v="Sonipat"/>
    <x v="110"/>
    <x v="45"/>
    <s v="JHU026/433810"/>
    <x v="186"/>
    <d v="2026-08-11T00:00:00"/>
    <s v="TATA Motors HP Genuine Def - 1*20L"/>
    <s v="Drona Logitech"/>
    <n v="25"/>
    <n v="25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19"/>
    <s v="Sonipat"/>
    <x v="110"/>
    <x v="45"/>
    <s v="JHU026/433810"/>
    <x v="186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0"/>
    <s v="Sonipat"/>
    <x v="111"/>
    <x v="6"/>
    <s v="JHU026/433810"/>
    <x v="187"/>
    <d v="2026-08-11T00:00:00"/>
    <s v="TATA Motors HP Genuine Def - 1*20L"/>
    <s v="Drona Logitech"/>
    <n v="25"/>
    <n v="25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1"/>
    <s v="Sonipat"/>
    <x v="111"/>
    <x v="6"/>
    <s v="JHU026/433810"/>
    <x v="187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2"/>
    <s v="Sonipat"/>
    <x v="112"/>
    <x v="6"/>
    <s v="JHU026/433813"/>
    <x v="188"/>
    <d v="2026-08-11T00:00:00"/>
    <s v="TATA Motors HP Genuine Def - 1*20L"/>
    <s v="Drona Logitech"/>
    <n v="50"/>
    <n v="50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3"/>
    <s v="Sonipat"/>
    <x v="112"/>
    <x v="6"/>
    <s v="JHU026/433813"/>
    <x v="188"/>
    <d v="2026-08-11T00:00:00"/>
    <s v="TATA Motors HP Genuine Def - 1*20L"/>
    <s v="Drona Logitech"/>
    <n v="3"/>
    <n v="3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4"/>
    <s v="Sonipat"/>
    <x v="113"/>
    <x v="56"/>
    <s v="JHU026/433815"/>
    <x v="189"/>
    <d v="2026-08-11T00:00:00"/>
    <s v="TATA Motors HP Genuine Def - 1*20L"/>
    <s v="Drona Logitech"/>
    <n v="25"/>
    <n v="25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5"/>
    <s v="Sonipat"/>
    <x v="113"/>
    <x v="56"/>
    <s v="JHU026/433815"/>
    <x v="189"/>
    <d v="2026-08-11T00:00:00"/>
    <s v="TATA Motors HP Genuine Def - 1*20L"/>
    <s v="Drona Logitech"/>
    <n v="1"/>
    <n v="1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6"/>
    <s v="Sonipat"/>
    <x v="114"/>
    <x v="36"/>
    <s v="JHU026/433817"/>
    <x v="166"/>
    <d v="2026-08-11T00:00:00"/>
    <s v="TATA Motors HP Genuine Def - 1*20L"/>
    <s v="Drona Logitech"/>
    <n v="20"/>
    <n v="20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7"/>
    <s v="Sonipat"/>
    <x v="114"/>
    <x v="36"/>
    <s v="JHU026/433817"/>
    <x v="166"/>
    <d v="2026-08-11T00:00:00"/>
    <s v="TATA Motors HP Genuine Def - 1*20L"/>
    <s v="Drona Logitech"/>
    <n v="5"/>
    <n v="20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8"/>
    <s v="Sonipat"/>
    <x v="115"/>
    <x v="42"/>
    <s v="JHU026/433818"/>
    <x v="190"/>
    <d v="2026-08-11T00:00:00"/>
    <s v="TATA Motors HP Genuine Def - 4*5L"/>
    <s v="Drona Logitech"/>
    <n v="25"/>
    <n v="100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29"/>
    <s v="Sonipat"/>
    <x v="115"/>
    <x v="42"/>
    <s v="JHU026/433818"/>
    <x v="190"/>
    <d v="2026-08-11T00:00:00"/>
    <s v="TATA Motors HP Genuine Def - 4*5L"/>
    <s v="Drona Logitech"/>
    <n v="3"/>
    <n v="12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30"/>
    <s v="Sonipat"/>
    <x v="116"/>
    <x v="57"/>
    <s v="JHU026/433819"/>
    <x v="191"/>
    <d v="2026-08-11T00:00:00"/>
    <s v="TATA Motors HP Genuine Def - 1*20L"/>
    <s v="Drona Logitech"/>
    <n v="50"/>
    <n v="50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31"/>
    <s v="Sonipat"/>
    <x v="116"/>
    <x v="57"/>
    <s v="JHU026/433819"/>
    <x v="191"/>
    <d v="2026-08-11T00:00:00"/>
    <s v="TATA Motors HP Genuine Def - 1*20L"/>
    <s v="Drona Logitech"/>
    <n v="3"/>
    <n v="3"/>
    <s v="PTL"/>
    <d v="2026-08-13T00:00:00"/>
    <d v="2026-08-13T00:00:00"/>
    <m/>
    <s v="In transit"/>
    <s v="To be Billed"/>
    <s v="No"/>
    <m/>
    <m/>
    <s v="HR47G3068"/>
    <n v="709"/>
    <n v="0"/>
    <s v="Pending"/>
    <x v="0"/>
  </r>
  <r>
    <n v="232"/>
    <s v="Sonipat"/>
    <x v="1"/>
    <x v="0"/>
    <s v="SONGOG26/22339"/>
    <x v="192"/>
    <d v="2026-08-07T00:00:00"/>
    <s v="TATA Motors HP Genuine Def - 1*20L"/>
    <s v="Drona Logitech"/>
    <n v="20"/>
    <n v="200"/>
    <s v="PTL"/>
    <d v="2026-08-08T00:00:00"/>
    <d v="2026-08-08T00:00:00"/>
    <d v="2026-08-08T00:00:00"/>
    <s v="Delivered"/>
    <s v="To be Billed"/>
    <s v="No"/>
    <m/>
    <m/>
    <s v="HR69C7317"/>
    <n v="709"/>
    <n v="0"/>
    <s v="Dispatch"/>
    <x v="0"/>
  </r>
  <r>
    <n v="233"/>
    <s v="Sonipat"/>
    <x v="79"/>
    <x v="52"/>
    <s v="SONGOG26/22347"/>
    <x v="193"/>
    <d v="2026-08-07T00:00:00"/>
    <s v="TATA Genius DEF (4*5) - PVBU"/>
    <s v="Drona Logitech"/>
    <n v="6"/>
    <n v="120"/>
    <s v="PTL"/>
    <d v="2026-08-15T00:00:00"/>
    <d v="2026-08-15T00:00:00"/>
    <d v="2026-08-12T00:00:00"/>
    <s v="Delivered"/>
    <s v="To be Billed"/>
    <s v="No"/>
    <m/>
    <m/>
    <s v="HR69G3673"/>
    <n v="709"/>
    <n v="0"/>
    <s v="Dispatch"/>
    <x v="0"/>
  </r>
  <r>
    <n v="234"/>
    <s v="Sonipat"/>
    <x v="117"/>
    <x v="0"/>
    <s v="SONGIV26/22672"/>
    <x v="194"/>
    <d v="2026-08-07T00:00:00"/>
    <s v="TATA Motors HP Genuine Def - 1*20L"/>
    <s v="Drona Logitech"/>
    <n v="30"/>
    <n v="300"/>
    <s v="PTL"/>
    <d v="2026-08-12T00:00:00"/>
    <d v="2026-08-12T00:00:00"/>
    <d v="2026-08-11T00:00:00"/>
    <s v="Delivered"/>
    <s v="To be Billed"/>
    <s v="No"/>
    <m/>
    <m/>
    <s v="HR69C7317"/>
    <n v="709"/>
    <n v="0"/>
    <s v="Dispatch"/>
    <x v="0"/>
  </r>
  <r>
    <n v="235"/>
    <s v="Sonipat"/>
    <x v="106"/>
    <x v="45"/>
    <s v="JHUS026/433800"/>
    <x v="182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36"/>
    <s v="Sonipat"/>
    <x v="106"/>
    <x v="45"/>
    <s v="JHUS026/433800"/>
    <x v="182"/>
    <d v="2026-08-12T00:00:00"/>
    <s v="TATA Motors HP Genuine Def - 1*20L"/>
    <s v="Drona Logitech"/>
    <n v="25"/>
    <n v="1"/>
    <s v="PTL"/>
    <m/>
    <m/>
    <m/>
    <s v="Pending"/>
    <s v="To be Billed"/>
    <s v="No"/>
    <m/>
    <m/>
    <s v="HR4743068"/>
    <n v="709"/>
    <n v="0"/>
    <s v="Pending"/>
    <x v="1"/>
  </r>
  <r>
    <n v="237"/>
    <s v="Sonipat"/>
    <x v="107"/>
    <x v="45"/>
    <s v="JHUS026/433801"/>
    <x v="183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38"/>
    <s v="Sonipat"/>
    <x v="107"/>
    <x v="45"/>
    <s v="JHUS026/433801"/>
    <x v="183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39"/>
    <s v="Sonipat"/>
    <x v="118"/>
    <x v="45"/>
    <s v="JHUS026/433807"/>
    <x v="184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40"/>
    <s v="Sonipat"/>
    <x v="118"/>
    <x v="45"/>
    <s v="JHUS026/433807"/>
    <x v="184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41"/>
    <s v="Sonipat"/>
    <x v="109"/>
    <x v="45"/>
    <s v="JHUS026/433809"/>
    <x v="185"/>
    <d v="2026-08-12T00:00:00"/>
    <s v="TATA Motors HP Genuine Def - 1*20L"/>
    <s v="Drona Logitech"/>
    <n v="50"/>
    <n v="50"/>
    <s v="PTL"/>
    <m/>
    <m/>
    <m/>
    <s v="Pending"/>
    <s v="To be Billed"/>
    <s v="No"/>
    <m/>
    <m/>
    <s v="HR4743068"/>
    <n v="709"/>
    <n v="0"/>
    <s v="Pending"/>
    <x v="1"/>
  </r>
  <r>
    <n v="242"/>
    <s v="Sonipat"/>
    <x v="109"/>
    <x v="45"/>
    <s v="JHUS026/433809"/>
    <x v="185"/>
    <d v="2026-08-12T00:00:00"/>
    <s v="TATA Motors HP Genuine Def - 1*20L"/>
    <s v="Drona Logitech"/>
    <n v="3"/>
    <n v="3"/>
    <s v="PTL"/>
    <m/>
    <m/>
    <m/>
    <s v="Pending"/>
    <s v="To be Billed"/>
    <s v="No"/>
    <m/>
    <m/>
    <s v="HR4743068"/>
    <n v="709"/>
    <n v="0"/>
    <s v="Pending"/>
    <x v="1"/>
  </r>
  <r>
    <n v="243"/>
    <s v="Sonipat"/>
    <x v="110"/>
    <x v="45"/>
    <s v="JHUS026/433810"/>
    <x v="186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44"/>
    <s v="Sonipat"/>
    <x v="110"/>
    <x v="45"/>
    <s v="JHUS026/433810"/>
    <x v="186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45"/>
    <s v="Sonipat"/>
    <x v="111"/>
    <x v="6"/>
    <s v="JHUS026/433812"/>
    <x v="187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46"/>
    <s v="Sonipat"/>
    <x v="111"/>
    <x v="6"/>
    <s v="JHUS026/433812"/>
    <x v="187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47"/>
    <s v="Sonipat"/>
    <x v="112"/>
    <x v="6"/>
    <s v="JHUS026/433813"/>
    <x v="188"/>
    <d v="2026-08-12T00:00:00"/>
    <s v="TATA Motors HP Genuine Def - 1*20L"/>
    <s v="Drona Logitech"/>
    <n v="50"/>
    <n v="50"/>
    <s v="PTL"/>
    <m/>
    <m/>
    <m/>
    <s v="Pending"/>
    <s v="To be Billed"/>
    <s v="No"/>
    <m/>
    <m/>
    <s v="HR4743068"/>
    <n v="709"/>
    <n v="0"/>
    <s v="Pending"/>
    <x v="1"/>
  </r>
  <r>
    <n v="248"/>
    <s v="Sonipat"/>
    <x v="112"/>
    <x v="6"/>
    <s v="JHUS026/433813"/>
    <x v="188"/>
    <d v="2026-08-12T00:00:00"/>
    <s v="TATA Motors HP Genuine Def - 1*20L"/>
    <s v="Drona Logitech"/>
    <n v="3"/>
    <n v="3"/>
    <s v="PTL"/>
    <m/>
    <m/>
    <m/>
    <s v="Pending"/>
    <s v="To be Billed"/>
    <s v="No"/>
    <m/>
    <m/>
    <s v="HR4743068"/>
    <n v="709"/>
    <n v="0"/>
    <s v="Pending"/>
    <x v="1"/>
  </r>
  <r>
    <n v="249"/>
    <s v="Sonipat"/>
    <x v="113"/>
    <x v="56"/>
    <s v="JHUS026/433815"/>
    <x v="189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50"/>
    <s v="Sonipat"/>
    <x v="113"/>
    <x v="56"/>
    <s v="JHUS026/433815"/>
    <x v="189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51"/>
    <s v="Sonipat"/>
    <x v="114"/>
    <x v="36"/>
    <s v="JHUS026/433817"/>
    <x v="166"/>
    <d v="2026-08-12T00:00:00"/>
    <s v="TATA Motors HP Genuine Def - 1*20L"/>
    <s v="Drona Logitech"/>
    <n v="20"/>
    <n v="20"/>
    <s v="PTL"/>
    <m/>
    <m/>
    <m/>
    <s v="Pending"/>
    <s v="To be Billed"/>
    <s v="No"/>
    <m/>
    <m/>
    <s v="HR4743068"/>
    <n v="709"/>
    <n v="0"/>
    <s v="Pending"/>
    <x v="1"/>
  </r>
  <r>
    <n v="252"/>
    <s v="Sonipat"/>
    <x v="114"/>
    <x v="36"/>
    <s v="JHUS026/433817"/>
    <x v="166"/>
    <d v="2026-08-12T00:00:00"/>
    <s v="TATA Motors HP Genuine Def - 1*20L"/>
    <s v="Drona Logitech"/>
    <n v="5"/>
    <n v="5"/>
    <s v="PTL"/>
    <m/>
    <m/>
    <m/>
    <s v="Pending"/>
    <s v="To be Billed"/>
    <s v="No"/>
    <m/>
    <m/>
    <s v="HR4743068"/>
    <n v="709"/>
    <n v="0"/>
    <s v="Pending"/>
    <x v="1"/>
  </r>
  <r>
    <n v="253"/>
    <s v="Sonipat"/>
    <x v="115"/>
    <x v="42"/>
    <s v="JHUS026/433818"/>
    <x v="190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54"/>
    <s v="Sonipat"/>
    <x v="115"/>
    <x v="42"/>
    <s v="JHUS026/433818"/>
    <x v="190"/>
    <d v="2026-08-12T00:00:00"/>
    <s v="TATA Motors HP Genuine Def - 1*20L"/>
    <s v="Drona Logitech"/>
    <n v="3"/>
    <n v="3"/>
    <s v="PTL"/>
    <m/>
    <m/>
    <m/>
    <s v="Pending"/>
    <s v="To be Billed"/>
    <s v="No"/>
    <m/>
    <m/>
    <s v="HR4743068"/>
    <n v="709"/>
    <n v="0"/>
    <s v="Pending"/>
    <x v="1"/>
  </r>
  <r>
    <n v="255"/>
    <s v="Sonipat"/>
    <x v="116"/>
    <x v="57"/>
    <s v="JHUS026/433819"/>
    <x v="191"/>
    <d v="2026-08-12T00:00:00"/>
    <s v="TATA Motors HP Genuine Def - 1*20L"/>
    <s v="Drona Logitech"/>
    <n v="50"/>
    <n v="50"/>
    <s v="PTL"/>
    <m/>
    <m/>
    <m/>
    <s v="Pending"/>
    <s v="To be Billed"/>
    <s v="No"/>
    <m/>
    <m/>
    <s v="HR4743068"/>
    <n v="709"/>
    <n v="0"/>
    <s v="Pending"/>
    <x v="1"/>
  </r>
  <r>
    <n v="256"/>
    <s v="Sonipat"/>
    <x v="116"/>
    <x v="57"/>
    <s v="JHUS026/433819"/>
    <x v="191"/>
    <d v="2026-08-12T00:00:00"/>
    <s v="TATA Motors HP Genuine Def - 1*20L"/>
    <s v="Drona Logitech"/>
    <n v="3"/>
    <n v="3"/>
    <s v="PTL"/>
    <m/>
    <m/>
    <m/>
    <s v="Pending"/>
    <s v="To be Billed"/>
    <s v="No"/>
    <m/>
    <m/>
    <s v="HR4743068"/>
    <n v="709"/>
    <n v="0"/>
    <s v="Pending"/>
    <x v="1"/>
  </r>
  <r>
    <n v="257"/>
    <s v="Sonipat"/>
    <x v="119"/>
    <x v="58"/>
    <s v="SONSOG26/22400"/>
    <x v="195"/>
    <d v="2026-08-12T00:00:00"/>
    <s v="TATA Genius DEF (4*5) - PVBU"/>
    <s v="Drona Logitech"/>
    <n v="12"/>
    <n v="240"/>
    <s v="PTL"/>
    <m/>
    <m/>
    <m/>
    <s v="Pending"/>
    <s v="To be Billed"/>
    <s v="No"/>
    <m/>
    <m/>
    <s v="HR4743068"/>
    <n v="709"/>
    <n v="0"/>
    <s v="Pending"/>
    <x v="1"/>
  </r>
  <r>
    <n v="258"/>
    <s v="Sonipat"/>
    <x v="53"/>
    <x v="41"/>
    <s v="SONSOG26/22401"/>
    <x v="196"/>
    <d v="2026-08-12T00:00:00"/>
    <s v="TATA Genius DEF (4*5) - PVBU"/>
    <s v="Drona Logitech"/>
    <n v="9"/>
    <n v="180"/>
    <s v="PTL"/>
    <m/>
    <m/>
    <m/>
    <s v="Pending"/>
    <s v="To be Billed"/>
    <s v="No"/>
    <m/>
    <m/>
    <s v="HR4743068"/>
    <n v="709"/>
    <n v="0"/>
    <s v="Pending"/>
    <x v="1"/>
  </r>
  <r>
    <n v="259"/>
    <s v="Sonipat"/>
    <x v="8"/>
    <x v="6"/>
    <s v="SONSOG26/22402"/>
    <x v="197"/>
    <d v="2026-08-12T00:00:00"/>
    <s v="TATA Genius DEF (4*5) - PVBU"/>
    <s v="Drona Logitech"/>
    <n v="40"/>
    <n v="400"/>
    <s v="PTL"/>
    <m/>
    <m/>
    <m/>
    <s v="Pending"/>
    <s v="To be Billed"/>
    <s v="No"/>
    <m/>
    <m/>
    <s v="HR4743068"/>
    <n v="709"/>
    <n v="0"/>
    <s v="Pending"/>
    <x v="1"/>
  </r>
  <r>
    <n v="260"/>
    <s v="Sonipat"/>
    <x v="120"/>
    <x v="59"/>
    <s v="SONSOG26/22405"/>
    <x v="198"/>
    <d v="2026-08-12T00:00:00"/>
    <s v="TATA Genius DEF (4*5) - PVBU"/>
    <s v="Drona Logitech"/>
    <n v="25"/>
    <n v="250"/>
    <s v="PTL"/>
    <m/>
    <m/>
    <m/>
    <s v="Pending"/>
    <s v="To be Billed"/>
    <s v="No"/>
    <m/>
    <m/>
    <s v="HR4743068"/>
    <n v="709"/>
    <n v="0"/>
    <s v="Pending"/>
    <x v="1"/>
  </r>
  <r>
    <n v="261"/>
    <s v="Sonipat"/>
    <x v="120"/>
    <x v="59"/>
    <s v="SONSOG26/22406"/>
    <x v="199"/>
    <d v="2026-08-12T00:00:00"/>
    <s v="TATA Genius DEF (4*5) - PVBU"/>
    <s v="Drona Logitech"/>
    <n v="9"/>
    <n v="180"/>
    <s v="PTL"/>
    <m/>
    <m/>
    <m/>
    <s v="Pending"/>
    <s v="To be Billed"/>
    <s v="No"/>
    <m/>
    <m/>
    <s v="HR4743068"/>
    <n v="709"/>
    <n v="0"/>
    <s v="Pending"/>
    <x v="1"/>
  </r>
  <r>
    <n v="262"/>
    <s v="Sonipat"/>
    <x v="121"/>
    <x v="8"/>
    <s v="SONSOG26/22407"/>
    <x v="200"/>
    <d v="2026-08-12T00:00:00"/>
    <s v="TATA Genius DEF (4*5) - PVBU"/>
    <s v="Drona Logitech"/>
    <n v="12"/>
    <n v="240"/>
    <s v="PTL"/>
    <m/>
    <m/>
    <m/>
    <s v="Pending"/>
    <s v="To be Billed"/>
    <s v="No"/>
    <m/>
    <m/>
    <s v="HR4743068"/>
    <n v="709"/>
    <n v="0"/>
    <s v="Pending"/>
    <x v="1"/>
  </r>
  <r>
    <n v="263"/>
    <s v="Sonipat"/>
    <x v="122"/>
    <x v="36"/>
    <s v="SONSOG26/22408"/>
    <x v="201"/>
    <d v="2026-08-12T00:00:00"/>
    <s v="TATA Genius DEF (4*5) - PVBU"/>
    <s v="Drona Logitech"/>
    <n v="25"/>
    <n v="250"/>
    <s v="PTL"/>
    <m/>
    <m/>
    <m/>
    <s v="Pending"/>
    <s v="To be Billed"/>
    <s v="No"/>
    <m/>
    <m/>
    <s v="HR4743068"/>
    <n v="709"/>
    <n v="0"/>
    <s v="Pending"/>
    <x v="1"/>
  </r>
  <r>
    <n v="264"/>
    <s v="Sonipat"/>
    <x v="122"/>
    <x v="36"/>
    <s v="SONSOG26/22409"/>
    <x v="202"/>
    <d v="2026-08-12T00:00:00"/>
    <s v="TATA Genius DEF (4*5) - PVBU"/>
    <s v="Drona Logitech"/>
    <n v="6"/>
    <n v="120"/>
    <s v="PTL"/>
    <m/>
    <m/>
    <m/>
    <s v="Pending"/>
    <s v="To be Billed"/>
    <s v="No"/>
    <m/>
    <m/>
    <s v="HR4743068"/>
    <n v="709"/>
    <n v="0"/>
    <s v="Pending"/>
    <x v="1"/>
  </r>
  <r>
    <n v="265"/>
    <s v="Sonipat"/>
    <x v="26"/>
    <x v="10"/>
    <s v="SONSOG26/22410"/>
    <x v="203"/>
    <d v="2026-08-12T00:00:00"/>
    <s v="TATA Genius DEF (4*5) - PVBU"/>
    <s v="Drona Logitech"/>
    <n v="40"/>
    <n v="400"/>
    <s v="PTL"/>
    <m/>
    <m/>
    <m/>
    <s v="Pending"/>
    <s v="To be Billed"/>
    <s v="No"/>
    <m/>
    <m/>
    <s v="HR4743068"/>
    <n v="709"/>
    <n v="0"/>
    <s v="Pending"/>
    <x v="1"/>
  </r>
  <r>
    <n v="266"/>
    <s v="Sonipat"/>
    <x v="26"/>
    <x v="10"/>
    <s v="SONSOG26/22411"/>
    <x v="204"/>
    <d v="2026-08-12T00:00:00"/>
    <s v="TATA Genius DEF (4*5) - PVBU"/>
    <s v="Drona Logitech"/>
    <n v="9"/>
    <n v="180"/>
    <s v="PTL"/>
    <m/>
    <m/>
    <m/>
    <s v="Pending"/>
    <s v="To be Billed"/>
    <s v="No"/>
    <m/>
    <m/>
    <s v="HR4743068"/>
    <n v="709"/>
    <n v="0"/>
    <s v="Pending"/>
    <x v="1"/>
  </r>
  <r>
    <n v="267"/>
    <s v="Sonipat"/>
    <x v="26"/>
    <x v="10"/>
    <s v="SONSOG26/22412"/>
    <x v="205"/>
    <d v="2026-08-12T00:00:00"/>
    <s v="TATA Genius DEF (4*5) - PVBU"/>
    <s v="Drona Logitech"/>
    <n v="8"/>
    <n v="96"/>
    <s v="PTL"/>
    <m/>
    <m/>
    <m/>
    <s v="Pending"/>
    <s v="To be Billed"/>
    <s v="No"/>
    <m/>
    <m/>
    <s v="HR4743068"/>
    <n v="709"/>
    <n v="0"/>
    <s v="Pending"/>
    <x v="1"/>
  </r>
  <r>
    <n v="268"/>
    <s v="Sonipat"/>
    <x v="54"/>
    <x v="60"/>
    <s v="SONSOG26/22413"/>
    <x v="206"/>
    <d v="2026-08-12T00:00:00"/>
    <s v="TATA Genius DEF (4*5) - PVBU"/>
    <s v="Drona Logitech"/>
    <n v="100"/>
    <n v="1000"/>
    <s v="PTL"/>
    <m/>
    <m/>
    <m/>
    <s v="Pending"/>
    <s v="To be Billed"/>
    <s v="No"/>
    <m/>
    <m/>
    <s v="HR4743068"/>
    <n v="709"/>
    <n v="0"/>
    <s v="Pending"/>
    <x v="1"/>
  </r>
  <r>
    <n v="269"/>
    <s v="Sonipat"/>
    <x v="123"/>
    <x v="61"/>
    <s v="SONSOG26/22414"/>
    <x v="207"/>
    <d v="2026-08-12T00:00:00"/>
    <s v="TATA Genius DEF (4*5) - PVBU"/>
    <s v="Drona Logitech"/>
    <n v="25"/>
    <n v="250"/>
    <s v="PTL"/>
    <m/>
    <m/>
    <m/>
    <s v="Pending"/>
    <s v="To be Billed"/>
    <s v="No"/>
    <m/>
    <m/>
    <s v="HR4743068"/>
    <n v="709"/>
    <n v="0"/>
    <s v="Pending"/>
    <x v="1"/>
  </r>
  <r>
    <n v="270"/>
    <s v="Sonipat"/>
    <x v="123"/>
    <x v="61"/>
    <s v="SONSOG26/22415"/>
    <x v="208"/>
    <d v="2026-08-12T00:00:00"/>
    <s v="TATA Genius DEF (4*5) - PVBU"/>
    <s v="Drona Logitech"/>
    <n v="9"/>
    <n v="180"/>
    <s v="PTL"/>
    <m/>
    <m/>
    <m/>
    <s v="Pending"/>
    <s v="To be Billed"/>
    <s v="No"/>
    <m/>
    <m/>
    <s v="HR4743068"/>
    <n v="709"/>
    <n v="0"/>
    <s v="Pending"/>
    <x v="1"/>
  </r>
  <r>
    <n v="271"/>
    <s v="Sonipat"/>
    <x v="124"/>
    <x v="7"/>
    <s v="SONSOG26/22416"/>
    <x v="209"/>
    <d v="2026-08-12T00:00:00"/>
    <s v="TATA Genius DEF (4*5) - PVBU"/>
    <s v="Drona Logitech"/>
    <n v="15"/>
    <n v="300"/>
    <s v="PTL"/>
    <m/>
    <m/>
    <m/>
    <s v="Pending"/>
    <s v="To be Billed"/>
    <s v="No"/>
    <m/>
    <m/>
    <s v="HR4743068"/>
    <n v="709"/>
    <n v="0"/>
    <s v="Pending"/>
    <x v="1"/>
  </r>
  <r>
    <n v="272"/>
    <s v="Sonipat"/>
    <x v="125"/>
    <x v="33"/>
    <s v="JHUSO26/436820"/>
    <x v="210"/>
    <d v="2026-08-12T00:00:00"/>
    <s v="TATA Motors HP Genuine Def - 4*5L"/>
    <s v="Drona Logitech"/>
    <n v="5"/>
    <n v="20"/>
    <s v="PTL"/>
    <m/>
    <m/>
    <m/>
    <s v="Pending"/>
    <s v="To be Billed"/>
    <s v="No"/>
    <m/>
    <m/>
    <s v="HR4743068"/>
    <n v="709"/>
    <n v="0"/>
    <s v="Pending"/>
    <x v="1"/>
  </r>
  <r>
    <n v="273"/>
    <s v="Sonipat"/>
    <x v="125"/>
    <x v="33"/>
    <s v="JHUSO26/436820"/>
    <x v="210"/>
    <d v="2026-08-12T00:00:00"/>
    <s v="TATA Motors HP Genuine Def - 4*5L"/>
    <s v="Drona Logitech"/>
    <n v="20"/>
    <n v="20"/>
    <s v="PTL"/>
    <m/>
    <m/>
    <m/>
    <s v="Pending"/>
    <s v="To be Billed"/>
    <s v="No"/>
    <m/>
    <m/>
    <s v="HR4743068"/>
    <n v="709"/>
    <n v="0"/>
    <s v="Pending"/>
    <x v="1"/>
  </r>
  <r>
    <n v="274"/>
    <s v="Sonipat"/>
    <x v="126"/>
    <x v="62"/>
    <s v="JHUSO26/436822"/>
    <x v="211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75"/>
    <s v="Sonipat"/>
    <x v="126"/>
    <x v="62"/>
    <s v="JHUSO26/436822"/>
    <x v="211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76"/>
    <s v="Sonipat"/>
    <x v="127"/>
    <x v="63"/>
    <s v="JHUSO26/436823"/>
    <x v="212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77"/>
    <s v="Sonipat"/>
    <x v="127"/>
    <x v="63"/>
    <s v="JHUSO26/436823"/>
    <x v="212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78"/>
    <s v="Sonipat"/>
    <x v="128"/>
    <x v="63"/>
    <s v="JHUSO26/436824"/>
    <x v="213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79"/>
    <s v="Sonipat"/>
    <x v="128"/>
    <x v="63"/>
    <s v="JHUSO26/436824"/>
    <x v="213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80"/>
    <s v="Sonipat"/>
    <x v="129"/>
    <x v="42"/>
    <s v="JHUSO26/436825"/>
    <x v="214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81"/>
    <s v="Sonipat"/>
    <x v="129"/>
    <x v="42"/>
    <s v="JHUSO26/436825"/>
    <x v="214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82"/>
    <s v="Sonipat"/>
    <x v="130"/>
    <x v="64"/>
    <s v="JHUSO26/436826"/>
    <x v="215"/>
    <d v="2026-08-12T00:00:00"/>
    <s v="TATA Motors HP Genuine Def - 1*20L"/>
    <s v="Drona Logitech"/>
    <n v="25"/>
    <n v="25"/>
    <s v="PTL"/>
    <m/>
    <m/>
    <m/>
    <s v="Pending"/>
    <s v="To be Billed"/>
    <s v="No"/>
    <m/>
    <m/>
    <s v="HR4743068"/>
    <n v="709"/>
    <n v="0"/>
    <s v="Pending"/>
    <x v="1"/>
  </r>
  <r>
    <n v="283"/>
    <s v="Sonipat"/>
    <x v="130"/>
    <x v="64"/>
    <s v="JHUSO26/436826"/>
    <x v="215"/>
    <d v="2026-08-12T00:00:00"/>
    <s v="TATA Motors HP Genuine Def - 4*5L"/>
    <s v="Drona Logitech"/>
    <n v="5"/>
    <n v="20"/>
    <s v="PTL"/>
    <m/>
    <m/>
    <m/>
    <s v="Pending"/>
    <s v="To be Billed"/>
    <s v="No"/>
    <m/>
    <m/>
    <s v="HR4743068"/>
    <n v="709"/>
    <n v="0"/>
    <s v="Pending"/>
    <x v="1"/>
  </r>
  <r>
    <n v="284"/>
    <s v="Sonipat"/>
    <x v="130"/>
    <x v="64"/>
    <s v="JHUSO26/436826"/>
    <x v="215"/>
    <d v="2026-08-12T00:00:00"/>
    <s v="TATA Motors HP Genuine Def - 1*20L"/>
    <s v="Drona Logitech"/>
    <n v="1"/>
    <n v="1"/>
    <s v="PTL"/>
    <m/>
    <m/>
    <m/>
    <s v="Pending"/>
    <s v="To be Billed"/>
    <s v="No"/>
    <m/>
    <m/>
    <s v="HR4743068"/>
    <n v="709"/>
    <n v="0"/>
    <s v="Pending"/>
    <x v="1"/>
  </r>
  <r>
    <n v="285"/>
    <s v="Sonipat"/>
    <x v="105"/>
    <x v="65"/>
    <n v="716287012"/>
    <x v="216"/>
    <d v="2026-08-12T00:00:00"/>
    <s v="TATA Motors HP Genuine Def - 1*10L"/>
    <s v="Drona Logitech"/>
    <n v="50"/>
    <n v="500"/>
    <s v="PTL"/>
    <m/>
    <m/>
    <m/>
    <s v="Pending"/>
    <s v="To be Billed"/>
    <s v="No"/>
    <m/>
    <m/>
    <s v="HR69C7317"/>
    <n v="709"/>
    <n v="0"/>
    <s v="Pending"/>
    <x v="1"/>
  </r>
  <r>
    <n v="286"/>
    <s v="Sonipat"/>
    <x v="131"/>
    <x v="66"/>
    <n v="716287134"/>
    <x v="217"/>
    <d v="2026-08-12T00:00:00"/>
    <s v="TATA Motors HP Genuine Def - 1*10L"/>
    <s v="Drona Logitech"/>
    <n v="10"/>
    <n v="100"/>
    <s v="PTL"/>
    <m/>
    <m/>
    <m/>
    <s v="Pending"/>
    <s v="To be Billed"/>
    <s v="No"/>
    <m/>
    <m/>
    <s v="HR69C7317"/>
    <n v="709"/>
    <n v="0"/>
    <s v="Pending"/>
    <x v="1"/>
  </r>
  <r>
    <n v="287"/>
    <s v="Sonipat"/>
    <x v="44"/>
    <x v="67"/>
    <n v="716287004"/>
    <x v="218"/>
    <d v="2026-08-12T00:00:00"/>
    <s v="TATA Motors HP Genuine Def - 1*10L"/>
    <s v="Drona Logitech"/>
    <n v="100"/>
    <n v="1000"/>
    <s v="PTL"/>
    <m/>
    <m/>
    <m/>
    <s v="Pending"/>
    <s v="To be Billed"/>
    <s v="No"/>
    <m/>
    <m/>
    <s v="HR69C7317"/>
    <n v="709"/>
    <n v="0"/>
    <s v="Pendin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D6C9B-DE6A-45B8-9FE1-BB28ED73B3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9" firstHeaderRow="1" firstDataRow="2" firstDataCol="3"/>
  <pivotFields count="25">
    <pivotField compact="0" outline="0" showAll="0" defaultSubtotal="0"/>
    <pivotField compact="0" outline="0" showAll="0" defaultSubtotal="0"/>
    <pivotField axis="axisRow" compact="0" outline="0" showAll="0" defaultSubtotal="0">
      <items count="132">
        <item x="48"/>
        <item x="42"/>
        <item x="131"/>
        <item x="11"/>
        <item x="82"/>
        <item x="73"/>
        <item x="129"/>
        <item x="1"/>
        <item x="83"/>
        <item x="64"/>
        <item x="99"/>
        <item x="103"/>
        <item x="68"/>
        <item x="36"/>
        <item x="30"/>
        <item x="17"/>
        <item x="50"/>
        <item x="80"/>
        <item x="69"/>
        <item x="3"/>
        <item x="94"/>
        <item x="92"/>
        <item x="127"/>
        <item x="115"/>
        <item x="19"/>
        <item x="14"/>
        <item x="124"/>
        <item x="121"/>
        <item x="123"/>
        <item x="6"/>
        <item x="70"/>
        <item x="37"/>
        <item x="77"/>
        <item x="34"/>
        <item x="90"/>
        <item x="98"/>
        <item x="101"/>
        <item x="88"/>
        <item x="106"/>
        <item x="86"/>
        <item x="0"/>
        <item x="112"/>
        <item x="97"/>
        <item x="109"/>
        <item x="78"/>
        <item x="67"/>
        <item x="49"/>
        <item x="59"/>
        <item x="15"/>
        <item x="28"/>
        <item x="20"/>
        <item x="111"/>
        <item x="21"/>
        <item x="16"/>
        <item x="125"/>
        <item x="35"/>
        <item x="128"/>
        <item x="95"/>
        <item x="89"/>
        <item x="76"/>
        <item x="61"/>
        <item x="84"/>
        <item x="119"/>
        <item x="105"/>
        <item x="47"/>
        <item x="120"/>
        <item x="27"/>
        <item x="58"/>
        <item x="66"/>
        <item x="44"/>
        <item x="85"/>
        <item x="32"/>
        <item x="29"/>
        <item x="8"/>
        <item x="81"/>
        <item x="39"/>
        <item x="100"/>
        <item x="52"/>
        <item x="126"/>
        <item x="56"/>
        <item x="2"/>
        <item x="117"/>
        <item x="46"/>
        <item x="23"/>
        <item x="45"/>
        <item x="60"/>
        <item x="130"/>
        <item x="114"/>
        <item x="87"/>
        <item x="18"/>
        <item x="104"/>
        <item x="13"/>
        <item x="40"/>
        <item x="116"/>
        <item x="22"/>
        <item x="33"/>
        <item x="26"/>
        <item x="12"/>
        <item x="72"/>
        <item x="71"/>
        <item x="43"/>
        <item x="79"/>
        <item x="31"/>
        <item x="75"/>
        <item x="118"/>
        <item x="102"/>
        <item x="110"/>
        <item x="107"/>
        <item x="63"/>
        <item x="93"/>
        <item x="96"/>
        <item x="9"/>
        <item x="25"/>
        <item x="108"/>
        <item x="57"/>
        <item x="113"/>
        <item x="62"/>
        <item x="4"/>
        <item x="41"/>
        <item x="38"/>
        <item x="53"/>
        <item x="55"/>
        <item x="24"/>
        <item x="54"/>
        <item x="74"/>
        <item x="5"/>
        <item x="65"/>
        <item x="51"/>
        <item x="91"/>
        <item x="7"/>
        <item x="122"/>
        <item x="10"/>
      </items>
    </pivotField>
    <pivotField axis="axisRow" compact="0" outline="0" showAll="0" defaultSubtotal="0">
      <items count="68">
        <item x="47"/>
        <item x="21"/>
        <item x="59"/>
        <item x="34"/>
        <item x="17"/>
        <item x="28"/>
        <item x="20"/>
        <item x="62"/>
        <item x="2"/>
        <item x="5"/>
        <item x="29"/>
        <item x="58"/>
        <item x="11"/>
        <item x="27"/>
        <item x="61"/>
        <item x="49"/>
        <item x="6"/>
        <item x="4"/>
        <item x="55"/>
        <item x="0"/>
        <item x="51"/>
        <item x="53"/>
        <item x="63"/>
        <item x="3"/>
        <item x="64"/>
        <item x="25"/>
        <item x="19"/>
        <item x="7"/>
        <item x="48"/>
        <item x="14"/>
        <item x="41"/>
        <item x="56"/>
        <item x="46"/>
        <item x="30"/>
        <item x="23"/>
        <item x="22"/>
        <item x="39"/>
        <item x="37"/>
        <item x="15"/>
        <item x="54"/>
        <item x="42"/>
        <item x="13"/>
        <item x="9"/>
        <item x="43"/>
        <item x="50"/>
        <item x="65"/>
        <item x="8"/>
        <item x="10"/>
        <item x="45"/>
        <item x="36"/>
        <item x="57"/>
        <item x="35"/>
        <item x="32"/>
        <item x="44"/>
        <item x="66"/>
        <item x="1"/>
        <item x="38"/>
        <item x="26"/>
        <item x="31"/>
        <item x="24"/>
        <item x="60"/>
        <item x="40"/>
        <item x="52"/>
        <item x="33"/>
        <item x="16"/>
        <item x="12"/>
        <item x="67"/>
        <item x="18"/>
      </items>
    </pivotField>
    <pivotField compact="0" outline="0" showAll="0" defaultSubtotal="0"/>
    <pivotField axis="axisRow" compact="0" outline="0" showAll="0" defaultSubtotal="0">
      <items count="219">
        <item x="0"/>
        <item x="1"/>
        <item x="192"/>
        <item x="19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58"/>
        <item x="159"/>
        <item x="160"/>
        <item x="161"/>
        <item x="162"/>
        <item x="163"/>
        <item x="164"/>
        <item x="167"/>
        <item x="165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66"/>
        <item x="190"/>
        <item x="191"/>
        <item x="195"/>
        <item x="196"/>
        <item x="197"/>
        <item x="198"/>
        <item x="199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93"/>
        <item x="151"/>
        <item x="152"/>
        <item x="153"/>
        <item x="154"/>
        <item x="155"/>
        <item x="156"/>
        <item x="15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h="1" x="0"/>
        <item x="1"/>
      </items>
    </pivotField>
  </pivotFields>
  <rowFields count="3">
    <field x="2"/>
    <field x="3"/>
    <field x="5"/>
  </rowFields>
  <rowItems count="115">
    <i>
      <x v="2"/>
      <x v="54"/>
      <x v="217"/>
    </i>
    <i>
      <x v="3"/>
      <x v="42"/>
      <x v="17"/>
    </i>
    <i r="2">
      <x v="18"/>
    </i>
    <i r="2">
      <x v="19"/>
    </i>
    <i>
      <x v="5"/>
      <x/>
      <x v="172"/>
    </i>
    <i>
      <x v="6"/>
      <x v="40"/>
      <x v="214"/>
    </i>
    <i>
      <x v="8"/>
      <x v="27"/>
      <x v="190"/>
    </i>
    <i r="2">
      <x v="191"/>
    </i>
    <i>
      <x v="12"/>
      <x v="15"/>
      <x v="163"/>
    </i>
    <i>
      <x v="14"/>
      <x v="67"/>
      <x v="55"/>
    </i>
    <i>
      <x v="15"/>
      <x v="38"/>
      <x v="29"/>
    </i>
    <i r="2">
      <x v="30"/>
    </i>
    <i>
      <x v="19"/>
      <x v="55"/>
      <x v="6"/>
    </i>
    <i>
      <x v="22"/>
      <x v="22"/>
      <x v="212"/>
    </i>
    <i>
      <x v="23"/>
      <x v="40"/>
      <x v="93"/>
    </i>
    <i>
      <x v="24"/>
      <x v="64"/>
      <x v="32"/>
    </i>
    <i r="2">
      <x v="33"/>
    </i>
    <i r="2">
      <x v="34"/>
    </i>
    <i>
      <x v="25"/>
      <x v="65"/>
      <x v="24"/>
    </i>
    <i r="2">
      <x v="25"/>
    </i>
    <i>
      <x v="26"/>
      <x v="27"/>
      <x v="209"/>
    </i>
    <i>
      <x v="27"/>
      <x v="46"/>
      <x v="200"/>
    </i>
    <i>
      <x v="28"/>
      <x v="14"/>
      <x v="207"/>
    </i>
    <i r="2">
      <x v="208"/>
    </i>
    <i>
      <x v="29"/>
      <x v="17"/>
      <x v="10"/>
    </i>
    <i>
      <x v="30"/>
      <x v="65"/>
      <x v="165"/>
    </i>
    <i>
      <x v="32"/>
      <x v="20"/>
      <x v="179"/>
    </i>
    <i r="2">
      <x v="180"/>
    </i>
    <i>
      <x v="38"/>
      <x v="48"/>
      <x v="84"/>
    </i>
    <i>
      <x v="41"/>
      <x v="16"/>
      <x v="90"/>
    </i>
    <i>
      <x v="43"/>
      <x v="48"/>
      <x v="87"/>
    </i>
    <i>
      <x v="45"/>
      <x v="28"/>
      <x v="162"/>
    </i>
    <i>
      <x v="48"/>
      <x v="41"/>
      <x v="26"/>
    </i>
    <i>
      <x v="49"/>
      <x v="6"/>
      <x v="49"/>
    </i>
    <i>
      <x v="50"/>
      <x v="4"/>
      <x v="35"/>
    </i>
    <i r="2">
      <x v="36"/>
    </i>
    <i>
      <x v="51"/>
      <x v="16"/>
      <x v="89"/>
    </i>
    <i>
      <x v="52"/>
      <x v="38"/>
      <x v="37"/>
    </i>
    <i>
      <x v="54"/>
      <x v="63"/>
      <x v="210"/>
    </i>
    <i>
      <x v="55"/>
      <x v="34"/>
      <x v="60"/>
    </i>
    <i>
      <x v="56"/>
      <x v="22"/>
      <x v="213"/>
    </i>
    <i>
      <x v="59"/>
      <x/>
      <x v="177"/>
    </i>
    <i r="2">
      <x v="178"/>
    </i>
    <i>
      <x v="62"/>
      <x v="11"/>
      <x v="95"/>
    </i>
    <i>
      <x v="63"/>
      <x v="45"/>
      <x v="216"/>
    </i>
    <i>
      <x v="64"/>
      <x v="63"/>
      <x v="119"/>
    </i>
    <i>
      <x v="65"/>
      <x v="2"/>
      <x v="98"/>
    </i>
    <i r="2">
      <x v="99"/>
    </i>
    <i>
      <x v="66"/>
      <x v="26"/>
      <x v="48"/>
    </i>
    <i>
      <x v="69"/>
      <x v="13"/>
      <x v="115"/>
    </i>
    <i r="1">
      <x v="66"/>
      <x v="218"/>
    </i>
    <i>
      <x v="71"/>
      <x v="35"/>
      <x v="57"/>
    </i>
    <i>
      <x v="72"/>
      <x v="1"/>
      <x v="54"/>
    </i>
    <i>
      <x v="73"/>
      <x v="16"/>
      <x v="12"/>
    </i>
    <i r="2">
      <x v="97"/>
    </i>
    <i>
      <x v="74"/>
      <x v="21"/>
      <x v="186"/>
    </i>
    <i>
      <x v="75"/>
      <x v="13"/>
      <x v="114"/>
    </i>
    <i>
      <x v="78"/>
      <x v="7"/>
      <x v="211"/>
    </i>
    <i>
      <x v="83"/>
      <x v="46"/>
      <x v="41"/>
    </i>
    <i>
      <x v="85"/>
      <x v="53"/>
      <x v="150"/>
    </i>
    <i r="2">
      <x v="151"/>
    </i>
    <i>
      <x v="86"/>
      <x v="24"/>
      <x v="215"/>
    </i>
    <i>
      <x v="87"/>
      <x v="49"/>
      <x v="92"/>
    </i>
    <i>
      <x v="89"/>
      <x v="46"/>
      <x v="31"/>
    </i>
    <i>
      <x v="91"/>
      <x v="12"/>
      <x v="22"/>
    </i>
    <i r="2">
      <x v="23"/>
    </i>
    <i>
      <x v="92"/>
      <x v="13"/>
      <x v="109"/>
    </i>
    <i r="2">
      <x v="175"/>
    </i>
    <i>
      <x v="93"/>
      <x v="50"/>
      <x v="94"/>
    </i>
    <i>
      <x v="94"/>
      <x v="46"/>
      <x v="38"/>
    </i>
    <i r="2">
      <x v="39"/>
    </i>
    <i r="2">
      <x v="40"/>
    </i>
    <i>
      <x v="95"/>
      <x v="4"/>
      <x v="58"/>
    </i>
    <i>
      <x v="96"/>
      <x v="47"/>
      <x v="46"/>
    </i>
    <i r="2">
      <x v="47"/>
    </i>
    <i r="2">
      <x v="203"/>
    </i>
    <i r="2">
      <x v="204"/>
    </i>
    <i r="2">
      <x v="205"/>
    </i>
    <i>
      <x v="97"/>
      <x v="47"/>
      <x v="20"/>
    </i>
    <i r="2">
      <x v="21"/>
    </i>
    <i r="2">
      <x v="53"/>
    </i>
    <i>
      <x v="99"/>
      <x v="47"/>
      <x v="166"/>
    </i>
    <i r="2">
      <x v="167"/>
    </i>
    <i>
      <x v="102"/>
      <x v="16"/>
      <x v="56"/>
    </i>
    <i>
      <x v="103"/>
      <x v="44"/>
      <x v="176"/>
    </i>
    <i>
      <x v="104"/>
      <x v="48"/>
      <x v="86"/>
    </i>
    <i>
      <x v="106"/>
      <x v="48"/>
      <x v="88"/>
    </i>
    <i>
      <x v="107"/>
      <x v="48"/>
      <x v="85"/>
    </i>
    <i>
      <x v="108"/>
      <x/>
      <x v="155"/>
    </i>
    <i>
      <x v="111"/>
      <x v="27"/>
      <x v="13"/>
    </i>
    <i>
      <x v="112"/>
      <x v="42"/>
      <x v="43"/>
    </i>
    <i r="2">
      <x v="44"/>
    </i>
    <i r="2">
      <x v="45"/>
    </i>
    <i>
      <x v="114"/>
      <x v="61"/>
      <x v="140"/>
    </i>
    <i r="2">
      <x v="141"/>
    </i>
    <i r="2">
      <x v="142"/>
    </i>
    <i>
      <x v="115"/>
      <x v="31"/>
      <x v="91"/>
    </i>
    <i>
      <x v="116"/>
      <x v="32"/>
      <x v="153"/>
    </i>
    <i r="2">
      <x v="154"/>
    </i>
    <i>
      <x v="117"/>
      <x v="8"/>
      <x v="7"/>
    </i>
    <i r="2">
      <x v="8"/>
    </i>
    <i>
      <x v="118"/>
      <x v="5"/>
      <x v="111"/>
    </i>
    <i>
      <x v="120"/>
      <x v="30"/>
      <x v="96"/>
    </i>
    <i r="1">
      <x v="37"/>
      <x v="132"/>
    </i>
    <i>
      <x v="122"/>
      <x v="67"/>
      <x v="42"/>
    </i>
    <i>
      <x v="123"/>
      <x v="60"/>
      <x v="206"/>
    </i>
    <i>
      <x v="125"/>
      <x v="23"/>
      <x v="9"/>
    </i>
    <i r="2">
      <x v="145"/>
    </i>
    <i r="2">
      <x v="146"/>
    </i>
    <i>
      <x v="127"/>
      <x v="13"/>
      <x v="129"/>
    </i>
    <i r="2">
      <x v="130"/>
    </i>
    <i>
      <x v="129"/>
      <x v="9"/>
      <x v="11"/>
    </i>
    <i>
      <x v="130"/>
      <x v="49"/>
      <x v="201"/>
    </i>
    <i r="2">
      <x v="202"/>
    </i>
    <i t="grand">
      <x/>
    </i>
  </rowItems>
  <colFields count="1">
    <field x="24"/>
  </colFields>
  <colItems count="2">
    <i>
      <x v="1"/>
    </i>
    <i t="grand">
      <x/>
    </i>
  </colItems>
  <dataFields count="1">
    <dataField name="Sum of TOTAL QUANTITY IN LTRS" fld="10" baseField="0" baseItem="0"/>
  </dataFields>
  <formats count="274">
    <format dxfId="273">
      <pivotArea type="all" dataOnly="0" outline="0" fieldPosition="0"/>
    </format>
    <format dxfId="272">
      <pivotArea outline="0" collapsedLevelsAreSubtotals="1" fieldPosition="0"/>
    </format>
    <format dxfId="271">
      <pivotArea type="origin" dataOnly="0" labelOnly="1" outline="0" fieldPosition="0"/>
    </format>
    <format dxfId="270">
      <pivotArea field="24" type="button" dataOnly="0" labelOnly="1" outline="0" axis="axisCol" fieldPosition="0"/>
    </format>
    <format dxfId="269">
      <pivotArea type="topRight" dataOnly="0" labelOnly="1" outline="0" fieldPosition="0"/>
    </format>
    <format dxfId="268">
      <pivotArea field="2" type="button" dataOnly="0" labelOnly="1" outline="0" axis="axisRow" fieldPosition="0"/>
    </format>
    <format dxfId="267">
      <pivotArea field="3" type="button" dataOnly="0" labelOnly="1" outline="0" axis="axisRow" fieldPosition="1"/>
    </format>
    <format dxfId="266">
      <pivotArea field="5" type="button" dataOnly="0" labelOnly="1" outline="0" axis="axisRow" fieldPosition="2"/>
    </format>
    <format dxfId="265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4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3">
      <pivotArea dataOnly="0" labelOnly="1" outline="0" fieldPosition="0">
        <references count="1">
          <reference field="2" count="32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</reference>
        </references>
      </pivotArea>
    </format>
    <format dxfId="262">
      <pivotArea dataOnly="0" labelOnly="1" grandRow="1" outline="0" fieldPosition="0"/>
    </format>
    <format dxfId="261">
      <pivotArea dataOnly="0" labelOnly="1" outline="0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260">
      <pivotArea dataOnly="0" labelOnly="1" outline="0" fieldPosition="0">
        <references count="2">
          <reference field="2" count="1" selected="0">
            <x v="1"/>
          </reference>
          <reference field="3" count="1">
            <x v="10"/>
          </reference>
        </references>
      </pivotArea>
    </format>
    <format dxfId="259">
      <pivotArea dataOnly="0" labelOnly="1" outline="0" fieldPosition="0">
        <references count="2">
          <reference field="2" count="1" selected="0">
            <x v="2"/>
          </reference>
          <reference field="3" count="1">
            <x v="54"/>
          </reference>
        </references>
      </pivotArea>
    </format>
    <format dxfId="258">
      <pivotArea dataOnly="0" labelOnly="1" outline="0" fieldPosition="0">
        <references count="2">
          <reference field="2" count="1" selected="0">
            <x v="3"/>
          </reference>
          <reference field="3" count="1">
            <x v="42"/>
          </reference>
        </references>
      </pivotArea>
    </format>
    <format dxfId="257">
      <pivotArea dataOnly="0" labelOnly="1" outline="0" fieldPosition="0">
        <references count="2">
          <reference field="2" count="1" selected="0">
            <x v="4"/>
          </reference>
          <reference field="3" count="1">
            <x v="19"/>
          </reference>
        </references>
      </pivotArea>
    </format>
    <format dxfId="256">
      <pivotArea dataOnly="0" labelOnly="1" outline="0" fieldPosition="0">
        <references count="2">
          <reference field="2" count="1" selected="0">
            <x v="5"/>
          </reference>
          <reference field="3" count="1">
            <x v="0"/>
          </reference>
        </references>
      </pivotArea>
    </format>
    <format dxfId="255">
      <pivotArea dataOnly="0" labelOnly="1" outline="0" fieldPosition="0">
        <references count="2">
          <reference field="2" count="1" selected="0">
            <x v="6"/>
          </reference>
          <reference field="3" count="1">
            <x v="40"/>
          </reference>
        </references>
      </pivotArea>
    </format>
    <format dxfId="254">
      <pivotArea dataOnly="0" labelOnly="1" outline="0" fieldPosition="0">
        <references count="2">
          <reference field="2" count="1" selected="0">
            <x v="7"/>
          </reference>
          <reference field="3" count="1">
            <x v="19"/>
          </reference>
        </references>
      </pivotArea>
    </format>
    <format dxfId="253">
      <pivotArea dataOnly="0" labelOnly="1" outline="0" fieldPosition="0">
        <references count="2">
          <reference field="2" count="1" selected="0">
            <x v="8"/>
          </reference>
          <reference field="3" count="1">
            <x v="27"/>
          </reference>
        </references>
      </pivotArea>
    </format>
    <format dxfId="252">
      <pivotArea dataOnly="0" labelOnly="1" outline="0" fieldPosition="0">
        <references count="2">
          <reference field="2" count="1" selected="0">
            <x v="9"/>
          </reference>
          <reference field="3" count="1">
            <x v="16"/>
          </reference>
        </references>
      </pivotArea>
    </format>
    <format dxfId="251">
      <pivotArea dataOnly="0" labelOnly="1" outline="0" fieldPosition="0">
        <references count="2">
          <reference field="2" count="1" selected="0">
            <x v="12"/>
          </reference>
          <reference field="3" count="1">
            <x v="15"/>
          </reference>
        </references>
      </pivotArea>
    </format>
    <format dxfId="250">
      <pivotArea dataOnly="0" labelOnly="1" outline="0" fieldPosition="0">
        <references count="2">
          <reference field="2" count="1" selected="0">
            <x v="13"/>
          </reference>
          <reference field="3" count="1">
            <x v="59"/>
          </reference>
        </references>
      </pivotArea>
    </format>
    <format dxfId="249">
      <pivotArea dataOnly="0" labelOnly="1" outline="0" fieldPosition="0">
        <references count="2">
          <reference field="2" count="1" selected="0">
            <x v="14"/>
          </reference>
          <reference field="3" count="1">
            <x v="67"/>
          </reference>
        </references>
      </pivotArea>
    </format>
    <format dxfId="248">
      <pivotArea dataOnly="0" labelOnly="1" outline="0" fieldPosition="0">
        <references count="2">
          <reference field="2" count="1" selected="0">
            <x v="15"/>
          </reference>
          <reference field="3" count="1">
            <x v="38"/>
          </reference>
        </references>
      </pivotArea>
    </format>
    <format dxfId="247">
      <pivotArea dataOnly="0" labelOnly="1" outline="0" fieldPosition="0">
        <references count="2">
          <reference field="2" count="1" selected="0">
            <x v="16"/>
          </reference>
          <reference field="3" count="1">
            <x v="10"/>
          </reference>
        </references>
      </pivotArea>
    </format>
    <format dxfId="246">
      <pivotArea dataOnly="0" labelOnly="1" outline="0" fieldPosition="0">
        <references count="2">
          <reference field="2" count="1" selected="0">
            <x v="17"/>
          </reference>
          <reference field="3" count="1">
            <x v="19"/>
          </reference>
        </references>
      </pivotArea>
    </format>
    <format dxfId="245">
      <pivotArea dataOnly="0" labelOnly="1" outline="0" fieldPosition="0">
        <references count="2">
          <reference field="2" count="1" selected="0">
            <x v="18"/>
          </reference>
          <reference field="3" count="1">
            <x v="41"/>
          </reference>
        </references>
      </pivotArea>
    </format>
    <format dxfId="244">
      <pivotArea dataOnly="0" labelOnly="1" outline="0" fieldPosition="0">
        <references count="2">
          <reference field="2" count="1" selected="0">
            <x v="19"/>
          </reference>
          <reference field="3" count="1">
            <x v="55"/>
          </reference>
        </references>
      </pivotArea>
    </format>
    <format dxfId="243">
      <pivotArea dataOnly="0" labelOnly="1" outline="0" fieldPosition="0">
        <references count="2">
          <reference field="2" count="1" selected="0">
            <x v="20"/>
          </reference>
          <reference field="3" count="1">
            <x v="48"/>
          </reference>
        </references>
      </pivotArea>
    </format>
    <format dxfId="242">
      <pivotArea dataOnly="0" labelOnly="1" outline="0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241">
      <pivotArea dataOnly="0" labelOnly="1" outline="0" fieldPosition="0">
        <references count="2">
          <reference field="2" count="1" selected="0">
            <x v="23"/>
          </reference>
          <reference field="3" count="1">
            <x v="40"/>
          </reference>
        </references>
      </pivotArea>
    </format>
    <format dxfId="240">
      <pivotArea dataOnly="0" labelOnly="1" outline="0" fieldPosition="0">
        <references count="2">
          <reference field="2" count="1" selected="0">
            <x v="24"/>
          </reference>
          <reference field="3" count="1">
            <x v="64"/>
          </reference>
        </references>
      </pivotArea>
    </format>
    <format dxfId="239">
      <pivotArea dataOnly="0" labelOnly="1" outline="0" fieldPosition="0">
        <references count="2">
          <reference field="2" count="1" selected="0">
            <x v="25"/>
          </reference>
          <reference field="3" count="2">
            <x v="30"/>
            <x v="65"/>
          </reference>
        </references>
      </pivotArea>
    </format>
    <format dxfId="238">
      <pivotArea dataOnly="0" labelOnly="1" outline="0" fieldPosition="0">
        <references count="2">
          <reference field="2" count="1" selected="0">
            <x v="26"/>
          </reference>
          <reference field="3" count="1">
            <x v="27"/>
          </reference>
        </references>
      </pivotArea>
    </format>
    <format dxfId="237">
      <pivotArea dataOnly="0" labelOnly="1" outline="0" fieldPosition="0">
        <references count="2">
          <reference field="2" count="1" selected="0">
            <x v="27"/>
          </reference>
          <reference field="3" count="1">
            <x v="46"/>
          </reference>
        </references>
      </pivotArea>
    </format>
    <format dxfId="236">
      <pivotArea dataOnly="0" labelOnly="1" outline="0" fieldPosition="0">
        <references count="2">
          <reference field="2" count="1" selected="0">
            <x v="28"/>
          </reference>
          <reference field="3" count="1">
            <x v="14"/>
          </reference>
        </references>
      </pivotArea>
    </format>
    <format dxfId="235">
      <pivotArea dataOnly="0" labelOnly="1" outline="0" fieldPosition="0">
        <references count="2">
          <reference field="2" count="1" selected="0">
            <x v="29"/>
          </reference>
          <reference field="3" count="1">
            <x v="17"/>
          </reference>
        </references>
      </pivotArea>
    </format>
    <format dxfId="234">
      <pivotArea dataOnly="0" labelOnly="1" outline="0" fieldPosition="0">
        <references count="2">
          <reference field="2" count="1" selected="0">
            <x v="30"/>
          </reference>
          <reference field="3" count="1">
            <x v="65"/>
          </reference>
        </references>
      </pivotArea>
    </format>
    <format dxfId="233">
      <pivotArea dataOnly="0" labelOnly="1" outline="0" fieldPosition="0">
        <references count="2">
          <reference field="2" count="1" selected="0">
            <x v="31"/>
          </reference>
          <reference field="3" count="1">
            <x v="46"/>
          </reference>
        </references>
      </pivotArea>
    </format>
    <format dxfId="232">
      <pivotArea dataOnly="0" labelOnly="1" outline="0" fieldPosition="0">
        <references count="2">
          <reference field="2" count="1" selected="0">
            <x v="32"/>
          </reference>
          <reference field="3" count="1">
            <x v="20"/>
          </reference>
        </references>
      </pivotArea>
    </format>
    <format dxfId="231">
      <pivotArea dataOnly="0" labelOnly="1" outline="0" fieldPosition="0">
        <references count="2">
          <reference field="2" count="1" selected="0">
            <x v="33"/>
          </reference>
          <reference field="3" count="1">
            <x v="29"/>
          </reference>
        </references>
      </pivotArea>
    </format>
    <format dxfId="230">
      <pivotArea dataOnly="0" labelOnly="1" outline="0" fieldPosition="0">
        <references count="2">
          <reference field="2" count="1" selected="0">
            <x v="34"/>
          </reference>
          <reference field="3" count="1">
            <x v="48"/>
          </reference>
        </references>
      </pivotArea>
    </format>
    <format dxfId="229">
      <pivotArea dataOnly="0" labelOnly="1" outline="0" fieldPosition="0">
        <references count="2">
          <reference field="2" count="1" selected="0">
            <x v="35"/>
          </reference>
          <reference field="3" count="1">
            <x v="16"/>
          </reference>
        </references>
      </pivotArea>
    </format>
    <format dxfId="228">
      <pivotArea dataOnly="0" labelOnly="1" outline="0" fieldPosition="0">
        <references count="2">
          <reference field="2" count="1" selected="0">
            <x v="37"/>
          </reference>
          <reference field="3" count="1">
            <x v="48"/>
          </reference>
        </references>
      </pivotArea>
    </format>
    <format dxfId="227">
      <pivotArea dataOnly="0" labelOnly="1" outline="0" fieldPosition="0">
        <references count="2">
          <reference field="2" count="1" selected="0">
            <x v="40"/>
          </reference>
          <reference field="3" count="1">
            <x v="19"/>
          </reference>
        </references>
      </pivotArea>
    </format>
    <format dxfId="226">
      <pivotArea dataOnly="0" labelOnly="1" outline="0" fieldPosition="0">
        <references count="2">
          <reference field="2" count="1" selected="0">
            <x v="41"/>
          </reference>
          <reference field="3" count="1">
            <x v="16"/>
          </reference>
        </references>
      </pivotArea>
    </format>
    <format dxfId="225">
      <pivotArea dataOnly="0" labelOnly="1" outline="0" fieldPosition="0">
        <references count="2">
          <reference field="2" count="1" selected="0">
            <x v="43"/>
          </reference>
          <reference field="3" count="1">
            <x v="48"/>
          </reference>
        </references>
      </pivotArea>
    </format>
    <format dxfId="224">
      <pivotArea dataOnly="0" labelOnly="1" outline="0" fieldPosition="0">
        <references count="2">
          <reference field="2" count="1" selected="0">
            <x v="44"/>
          </reference>
          <reference field="3" count="1">
            <x v="62"/>
          </reference>
        </references>
      </pivotArea>
    </format>
    <format dxfId="223">
      <pivotArea dataOnly="0" labelOnly="1" outline="0" fieldPosition="0">
        <references count="2">
          <reference field="2" count="1" selected="0">
            <x v="45"/>
          </reference>
          <reference field="3" count="1">
            <x v="28"/>
          </reference>
        </references>
      </pivotArea>
    </format>
    <format dxfId="222">
      <pivotArea dataOnly="0" labelOnly="1" outline="0" fieldPosition="0">
        <references count="2">
          <reference field="2" count="1" selected="0">
            <x v="46"/>
          </reference>
          <reference field="3" count="1">
            <x v="46"/>
          </reference>
        </references>
      </pivotArea>
    </format>
    <format dxfId="221">
      <pivotArea dataOnly="0" labelOnly="1" outline="0" fieldPosition="0">
        <references count="2">
          <reference field="2" count="1" selected="0">
            <x v="47"/>
          </reference>
          <reference field="3" count="1">
            <x v="43"/>
          </reference>
        </references>
      </pivotArea>
    </format>
    <format dxfId="220">
      <pivotArea dataOnly="0" labelOnly="1" outline="0" fieldPosition="0">
        <references count="2">
          <reference field="2" count="1" selected="0">
            <x v="48"/>
          </reference>
          <reference field="3" count="1">
            <x v="41"/>
          </reference>
        </references>
      </pivotArea>
    </format>
    <format dxfId="219">
      <pivotArea dataOnly="0" labelOnly="1" outline="0" fieldPosition="0">
        <references count="2">
          <reference field="2" count="1" selected="0">
            <x v="49"/>
          </reference>
          <reference field="3" count="1">
            <x v="6"/>
          </reference>
        </references>
      </pivotArea>
    </format>
    <format dxfId="218">
      <pivotArea dataOnly="0" labelOnly="1" outline="0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217">
      <pivotArea dataOnly="0" labelOnly="1" outline="0" fieldPosition="0">
        <references count="2">
          <reference field="2" count="1" selected="0">
            <x v="51"/>
          </reference>
          <reference field="3" count="1">
            <x v="16"/>
          </reference>
        </references>
      </pivotArea>
    </format>
    <format dxfId="216">
      <pivotArea dataOnly="0" labelOnly="1" outline="0" fieldPosition="0">
        <references count="2">
          <reference field="2" count="1" selected="0">
            <x v="52"/>
          </reference>
          <reference field="3" count="1">
            <x v="38"/>
          </reference>
        </references>
      </pivotArea>
    </format>
    <format dxfId="215">
      <pivotArea dataOnly="0" labelOnly="1" outline="0" fieldPosition="0">
        <references count="2">
          <reference field="2" count="1" selected="0">
            <x v="53"/>
          </reference>
          <reference field="3" count="1">
            <x v="29"/>
          </reference>
        </references>
      </pivotArea>
    </format>
    <format dxfId="214">
      <pivotArea dataOnly="0" labelOnly="1" outline="0" fieldPosition="0">
        <references count="2">
          <reference field="2" count="1" selected="0">
            <x v="54"/>
          </reference>
          <reference field="3" count="1">
            <x v="63"/>
          </reference>
        </references>
      </pivotArea>
    </format>
    <format dxfId="213">
      <pivotArea dataOnly="0" labelOnly="1" outline="0" fieldPosition="0">
        <references count="2">
          <reference field="2" count="1" selected="0">
            <x v="55"/>
          </reference>
          <reference field="3" count="1">
            <x v="34"/>
          </reference>
        </references>
      </pivotArea>
    </format>
    <format dxfId="212">
      <pivotArea dataOnly="0" labelOnly="1" outline="0" fieldPosition="0">
        <references count="2">
          <reference field="2" count="1" selected="0">
            <x v="56"/>
          </reference>
          <reference field="3" count="1">
            <x v="22"/>
          </reference>
        </references>
      </pivotArea>
    </format>
    <format dxfId="211">
      <pivotArea dataOnly="0" labelOnly="1" outline="0" fieldPosition="0">
        <references count="2">
          <reference field="2" count="1" selected="0">
            <x v="57"/>
          </reference>
          <reference field="3" count="1">
            <x v="48"/>
          </reference>
        </references>
      </pivotArea>
    </format>
    <format dxfId="210">
      <pivotArea dataOnly="0" labelOnly="1" outline="0" fieldPosition="0">
        <references count="2">
          <reference field="2" count="1" selected="0">
            <x v="59"/>
          </reference>
          <reference field="3" count="1">
            <x v="0"/>
          </reference>
        </references>
      </pivotArea>
    </format>
    <format dxfId="209">
      <pivotArea dataOnly="0" labelOnly="1" outline="0" fieldPosition="0">
        <references count="2">
          <reference field="2" count="1" selected="0">
            <x v="60"/>
          </reference>
          <reference field="3" count="1">
            <x v="48"/>
          </reference>
        </references>
      </pivotArea>
    </format>
    <format dxfId="208">
      <pivotArea dataOnly="0" labelOnly="1" outline="0" fieldPosition="0">
        <references count="2">
          <reference field="2" count="1" selected="0">
            <x v="61"/>
          </reference>
          <reference field="3" count="1">
            <x v="39"/>
          </reference>
        </references>
      </pivotArea>
    </format>
    <format dxfId="207">
      <pivotArea dataOnly="0" labelOnly="1" outline="0" fieldPosition="0">
        <references count="2">
          <reference field="2" count="1" selected="0">
            <x v="62"/>
          </reference>
          <reference field="3" count="1">
            <x v="11"/>
          </reference>
        </references>
      </pivotArea>
    </format>
    <format dxfId="206">
      <pivotArea dataOnly="0" labelOnly="1" outline="0" fieldPosition="0">
        <references count="2">
          <reference field="2" count="1" selected="0">
            <x v="63"/>
          </reference>
          <reference field="3" count="2">
            <x v="18"/>
            <x v="45"/>
          </reference>
        </references>
      </pivotArea>
    </format>
    <format dxfId="205">
      <pivotArea dataOnly="0" labelOnly="1" outline="0" fieldPosition="0">
        <references count="2">
          <reference field="2" count="1" selected="0">
            <x v="64"/>
          </reference>
          <reference field="3" count="1">
            <x v="63"/>
          </reference>
        </references>
      </pivotArea>
    </format>
    <format dxfId="204">
      <pivotArea dataOnly="0" labelOnly="1" outline="0" fieldPosition="0">
        <references count="2">
          <reference field="2" count="1" selected="0">
            <x v="65"/>
          </reference>
          <reference field="3" count="1">
            <x v="2"/>
          </reference>
        </references>
      </pivotArea>
    </format>
    <format dxfId="203">
      <pivotArea dataOnly="0" labelOnly="1" outline="0" fieldPosition="0">
        <references count="2">
          <reference field="2" count="1" selected="0">
            <x v="66"/>
          </reference>
          <reference field="3" count="1">
            <x v="26"/>
          </reference>
        </references>
      </pivotArea>
    </format>
    <format dxfId="202">
      <pivotArea dataOnly="0" labelOnly="1" outline="0" fieldPosition="0">
        <references count="2">
          <reference field="2" count="1" selected="0">
            <x v="67"/>
          </reference>
          <reference field="3" count="1">
            <x v="40"/>
          </reference>
        </references>
      </pivotArea>
    </format>
    <format dxfId="201">
      <pivotArea dataOnly="0" labelOnly="1" outline="0" fieldPosition="0">
        <references count="2">
          <reference field="2" count="1" selected="0">
            <x v="68"/>
          </reference>
          <reference field="3" count="1">
            <x v="36"/>
          </reference>
        </references>
      </pivotArea>
    </format>
    <format dxfId="200">
      <pivotArea dataOnly="0" labelOnly="1" outline="0" fieldPosition="0">
        <references count="2">
          <reference field="2" count="1" selected="0">
            <x v="69"/>
          </reference>
          <reference field="3" count="2">
            <x v="13"/>
            <x v="66"/>
          </reference>
        </references>
      </pivotArea>
    </format>
    <format dxfId="199">
      <pivotArea dataOnly="0" labelOnly="1" outline="0" fieldPosition="0">
        <references count="2">
          <reference field="2" count="1" selected="0">
            <x v="70"/>
          </reference>
          <reference field="3" count="1">
            <x v="48"/>
          </reference>
        </references>
      </pivotArea>
    </format>
    <format dxfId="198">
      <pivotArea dataOnly="0" labelOnly="1" outline="0" fieldPosition="0">
        <references count="2">
          <reference field="2" count="1" selected="0">
            <x v="71"/>
          </reference>
          <reference field="3" count="1">
            <x v="35"/>
          </reference>
        </references>
      </pivotArea>
    </format>
    <format dxfId="197">
      <pivotArea dataOnly="0" labelOnly="1" outline="0" fieldPosition="0">
        <references count="2">
          <reference field="2" count="1" selected="0">
            <x v="72"/>
          </reference>
          <reference field="3" count="1">
            <x v="1"/>
          </reference>
        </references>
      </pivotArea>
    </format>
    <format dxfId="196">
      <pivotArea dataOnly="0" labelOnly="1" outline="0" fieldPosition="0">
        <references count="2">
          <reference field="2" count="1" selected="0">
            <x v="73"/>
          </reference>
          <reference field="3" count="1">
            <x v="16"/>
          </reference>
        </references>
      </pivotArea>
    </format>
    <format dxfId="195">
      <pivotArea dataOnly="0" labelOnly="1" outline="0" fieldPosition="0">
        <references count="2">
          <reference field="2" count="1" selected="0">
            <x v="74"/>
          </reference>
          <reference field="3" count="1">
            <x v="21"/>
          </reference>
        </references>
      </pivotArea>
    </format>
    <format dxfId="194">
      <pivotArea dataOnly="0" labelOnly="1" outline="0" fieldPosition="0">
        <references count="2">
          <reference field="2" count="1" selected="0">
            <x v="75"/>
          </reference>
          <reference field="3" count="2">
            <x v="13"/>
            <x v="57"/>
          </reference>
        </references>
      </pivotArea>
    </format>
    <format dxfId="193">
      <pivotArea dataOnly="0" labelOnly="1" outline="0" fieldPosition="0">
        <references count="2">
          <reference field="2" count="1" selected="0">
            <x v="76"/>
          </reference>
          <reference field="3" count="1">
            <x v="16"/>
          </reference>
        </references>
      </pivotArea>
    </format>
    <format dxfId="192">
      <pivotArea dataOnly="0" labelOnly="1" outline="0" fieldPosition="0">
        <references count="2">
          <reference field="2" count="1" selected="0">
            <x v="77"/>
          </reference>
          <reference field="3" count="1">
            <x v="49"/>
          </reference>
        </references>
      </pivotArea>
    </format>
    <format dxfId="191">
      <pivotArea dataOnly="0" labelOnly="1" outline="0" fieldPosition="0">
        <references count="2">
          <reference field="2" count="1" selected="0">
            <x v="78"/>
          </reference>
          <reference field="3" count="1">
            <x v="7"/>
          </reference>
        </references>
      </pivotArea>
    </format>
    <format dxfId="190">
      <pivotArea dataOnly="0" labelOnly="1" outline="0" fieldPosition="0">
        <references count="2">
          <reference field="2" count="1" selected="0">
            <x v="79"/>
          </reference>
          <reference field="3" count="1">
            <x v="46"/>
          </reference>
        </references>
      </pivotArea>
    </format>
    <format dxfId="189">
      <pivotArea dataOnly="0" labelOnly="1" outline="0" fieldPosition="0">
        <references count="2">
          <reference field="2" count="1" selected="0">
            <x v="80"/>
          </reference>
          <reference field="3" count="1">
            <x v="19"/>
          </reference>
        </references>
      </pivotArea>
    </format>
    <format dxfId="188">
      <pivotArea dataOnly="0" labelOnly="1" outline="0" fieldPosition="0">
        <references count="2">
          <reference field="2" count="1" selected="0">
            <x v="82"/>
          </reference>
          <reference field="3" count="1">
            <x v="52"/>
          </reference>
        </references>
      </pivotArea>
    </format>
    <format dxfId="187">
      <pivotArea dataOnly="0" labelOnly="1" outline="0" fieldPosition="0">
        <references count="2">
          <reference field="2" count="1" selected="0">
            <x v="83"/>
          </reference>
          <reference field="3" count="1">
            <x v="46"/>
          </reference>
        </references>
      </pivotArea>
    </format>
    <format dxfId="186">
      <pivotArea dataOnly="0" labelOnly="1" outline="0" fieldPosition="0">
        <references count="2">
          <reference field="2" count="1" selected="0">
            <x v="84"/>
          </reference>
          <reference field="3" count="1">
            <x v="58"/>
          </reference>
        </references>
      </pivotArea>
    </format>
    <format dxfId="185">
      <pivotArea dataOnly="0" labelOnly="1" outline="0" fieldPosition="0">
        <references count="2">
          <reference field="2" count="1" selected="0">
            <x v="85"/>
          </reference>
          <reference field="3" count="1">
            <x v="53"/>
          </reference>
        </references>
      </pivotArea>
    </format>
    <format dxfId="184">
      <pivotArea dataOnly="0" labelOnly="1" outline="0" fieldPosition="0">
        <references count="2">
          <reference field="2" count="1" selected="0">
            <x v="86"/>
          </reference>
          <reference field="3" count="1">
            <x v="24"/>
          </reference>
        </references>
      </pivotArea>
    </format>
    <format dxfId="183">
      <pivotArea dataOnly="0" labelOnly="1" outline="0" fieldPosition="0">
        <references count="2">
          <reference field="2" count="1" selected="0">
            <x v="87"/>
          </reference>
          <reference field="3" count="1">
            <x v="49"/>
          </reference>
        </references>
      </pivotArea>
    </format>
    <format dxfId="182">
      <pivotArea dataOnly="0" labelOnly="1" outline="0" fieldPosition="0">
        <references count="2">
          <reference field="2" count="1" selected="0">
            <x v="88"/>
          </reference>
          <reference field="3" count="1">
            <x v="48"/>
          </reference>
        </references>
      </pivotArea>
    </format>
    <format dxfId="181">
      <pivotArea dataOnly="0" labelOnly="1" outline="0" fieldPosition="0">
        <references count="2">
          <reference field="2" count="1" selected="0">
            <x v="89"/>
          </reference>
          <reference field="3" count="1">
            <x v="46"/>
          </reference>
        </references>
      </pivotArea>
    </format>
    <format dxfId="180">
      <pivotArea dataOnly="0" labelOnly="1" outline="0" fieldPosition="0">
        <references count="2">
          <reference field="2" count="1" selected="0">
            <x v="90"/>
          </reference>
          <reference field="3" count="1">
            <x v="16"/>
          </reference>
        </references>
      </pivotArea>
    </format>
    <format dxfId="179">
      <pivotArea dataOnly="0" labelOnly="1" outline="0" fieldPosition="0">
        <references count="2">
          <reference field="2" count="1" selected="0">
            <x v="91"/>
          </reference>
          <reference field="3" count="1">
            <x v="12"/>
          </reference>
        </references>
      </pivotArea>
    </format>
    <format dxfId="178">
      <pivotArea dataOnly="0" labelOnly="1" outline="0" fieldPosition="0">
        <references count="2">
          <reference field="2" count="1" selected="0">
            <x v="92"/>
          </reference>
          <reference field="3" count="1">
            <x v="13"/>
          </reference>
        </references>
      </pivotArea>
    </format>
    <format dxfId="177">
      <pivotArea dataOnly="0" labelOnly="1" outline="0" fieldPosition="0">
        <references count="2">
          <reference field="2" count="1" selected="0">
            <x v="93"/>
          </reference>
          <reference field="3" count="1">
            <x v="50"/>
          </reference>
        </references>
      </pivotArea>
    </format>
    <format dxfId="176">
      <pivotArea dataOnly="0" labelOnly="1" outline="0" fieldPosition="0">
        <references count="2">
          <reference field="2" count="1" selected="0">
            <x v="94"/>
          </reference>
          <reference field="3" count="1">
            <x v="46"/>
          </reference>
        </references>
      </pivotArea>
    </format>
    <format dxfId="175">
      <pivotArea dataOnly="0" labelOnly="1" outline="0" fieldPosition="0">
        <references count="2">
          <reference field="2" count="1" selected="0">
            <x v="95"/>
          </reference>
          <reference field="3" count="1">
            <x v="4"/>
          </reference>
        </references>
      </pivotArea>
    </format>
    <format dxfId="174">
      <pivotArea dataOnly="0" labelOnly="1" outline="0" fieldPosition="0">
        <references count="2">
          <reference field="2" count="1" selected="0">
            <x v="96"/>
          </reference>
          <reference field="3" count="1">
            <x v="47"/>
          </reference>
        </references>
      </pivotArea>
    </format>
    <format dxfId="173">
      <pivotArea dataOnly="0" labelOnly="1" outline="0" fieldPosition="0">
        <references count="2">
          <reference field="2" count="1" selected="0">
            <x v="98"/>
          </reference>
          <reference field="3" count="1">
            <x v="46"/>
          </reference>
        </references>
      </pivotArea>
    </format>
    <format dxfId="172">
      <pivotArea dataOnly="0" labelOnly="1" outline="0" fieldPosition="0">
        <references count="2">
          <reference field="2" count="1" selected="0">
            <x v="99"/>
          </reference>
          <reference field="3" count="1">
            <x v="47"/>
          </reference>
        </references>
      </pivotArea>
    </format>
    <format dxfId="171">
      <pivotArea dataOnly="0" labelOnly="1" outline="0" fieldPosition="0">
        <references count="2">
          <reference field="2" count="1" selected="0">
            <x v="100"/>
          </reference>
          <reference field="3" count="2">
            <x v="33"/>
            <x v="51"/>
          </reference>
        </references>
      </pivotArea>
    </format>
    <format dxfId="170">
      <pivotArea dataOnly="0" labelOnly="1" outline="0" fieldPosition="0">
        <references count="2">
          <reference field="2" count="1" selected="0">
            <x v="101"/>
          </reference>
          <reference field="3" count="1">
            <x v="62"/>
          </reference>
        </references>
      </pivotArea>
    </format>
    <format dxfId="169">
      <pivotArea dataOnly="0" labelOnly="1" outline="0" fieldPosition="0">
        <references count="2">
          <reference field="2" count="1" selected="0">
            <x v="102"/>
          </reference>
          <reference field="3" count="1">
            <x v="16"/>
          </reference>
        </references>
      </pivotArea>
    </format>
    <format dxfId="168">
      <pivotArea dataOnly="0" labelOnly="1" outline="0" fieldPosition="0">
        <references count="2">
          <reference field="2" count="1" selected="0">
            <x v="103"/>
          </reference>
          <reference field="3" count="1">
            <x v="44"/>
          </reference>
        </references>
      </pivotArea>
    </format>
    <format dxfId="167">
      <pivotArea dataOnly="0" labelOnly="1" outline="0" fieldPosition="0">
        <references count="2">
          <reference field="2" count="1" selected="0">
            <x v="104"/>
          </reference>
          <reference field="3" count="1">
            <x v="48"/>
          </reference>
        </references>
      </pivotArea>
    </format>
    <format dxfId="166">
      <pivotArea dataOnly="0" labelOnly="1" outline="0" fieldPosition="0">
        <references count="2">
          <reference field="2" count="1" selected="0">
            <x v="105"/>
          </reference>
          <reference field="3" count="1">
            <x v="16"/>
          </reference>
        </references>
      </pivotArea>
    </format>
    <format dxfId="165">
      <pivotArea dataOnly="0" labelOnly="1" outline="0" fieldPosition="0">
        <references count="2">
          <reference field="2" count="1" selected="0">
            <x v="106"/>
          </reference>
          <reference field="3" count="1">
            <x v="48"/>
          </reference>
        </references>
      </pivotArea>
    </format>
    <format dxfId="164">
      <pivotArea dataOnly="0" labelOnly="1" outline="0" fieldPosition="0">
        <references count="2">
          <reference field="2" count="1" selected="0">
            <x v="108"/>
          </reference>
          <reference field="3" count="1">
            <x v="0"/>
          </reference>
        </references>
      </pivotArea>
    </format>
    <format dxfId="163">
      <pivotArea dataOnly="0" labelOnly="1" outline="0" fieldPosition="0">
        <references count="2">
          <reference field="2" count="1" selected="0">
            <x v="109"/>
          </reference>
          <reference field="3" count="1">
            <x v="48"/>
          </reference>
        </references>
      </pivotArea>
    </format>
    <format dxfId="162">
      <pivotArea dataOnly="0" labelOnly="1" outline="0" fieldPosition="0">
        <references count="2">
          <reference field="2" count="1" selected="0">
            <x v="111"/>
          </reference>
          <reference field="3" count="1">
            <x v="27"/>
          </reference>
        </references>
      </pivotArea>
    </format>
    <format dxfId="161">
      <pivotArea dataOnly="0" labelOnly="1" outline="0" fieldPosition="0">
        <references count="2">
          <reference field="2" count="1" selected="0">
            <x v="112"/>
          </reference>
          <reference field="3" count="1">
            <x v="42"/>
          </reference>
        </references>
      </pivotArea>
    </format>
    <format dxfId="160">
      <pivotArea dataOnly="0" labelOnly="1" outline="0" fieldPosition="0">
        <references count="2">
          <reference field="2" count="1" selected="0">
            <x v="113"/>
          </reference>
          <reference field="3" count="1">
            <x v="48"/>
          </reference>
        </references>
      </pivotArea>
    </format>
    <format dxfId="159">
      <pivotArea dataOnly="0" labelOnly="1" outline="0" fieldPosition="0">
        <references count="2">
          <reference field="2" count="1" selected="0">
            <x v="114"/>
          </reference>
          <reference field="3" count="1">
            <x v="61"/>
          </reference>
        </references>
      </pivotArea>
    </format>
    <format dxfId="158">
      <pivotArea dataOnly="0" labelOnly="1" outline="0" fieldPosition="0">
        <references count="2">
          <reference field="2" count="1" selected="0">
            <x v="115"/>
          </reference>
          <reference field="3" count="1">
            <x v="31"/>
          </reference>
        </references>
      </pivotArea>
    </format>
    <format dxfId="157">
      <pivotArea dataOnly="0" labelOnly="1" outline="0" fieldPosition="0">
        <references count="2">
          <reference field="2" count="1" selected="0">
            <x v="116"/>
          </reference>
          <reference field="3" count="1">
            <x v="32"/>
          </reference>
        </references>
      </pivotArea>
    </format>
    <format dxfId="156">
      <pivotArea dataOnly="0" labelOnly="1" outline="0" fieldPosition="0">
        <references count="2">
          <reference field="2" count="1" selected="0">
            <x v="117"/>
          </reference>
          <reference field="3" count="1">
            <x v="8"/>
          </reference>
        </references>
      </pivotArea>
    </format>
    <format dxfId="155">
      <pivotArea dataOnly="0" labelOnly="1" outline="0" fieldPosition="0">
        <references count="2">
          <reference field="2" count="1" selected="0">
            <x v="118"/>
          </reference>
          <reference field="3" count="1">
            <x v="5"/>
          </reference>
        </references>
      </pivotArea>
    </format>
    <format dxfId="154">
      <pivotArea dataOnly="0" labelOnly="1" outline="0" fieldPosition="0">
        <references count="2">
          <reference field="2" count="1" selected="0">
            <x v="119"/>
          </reference>
          <reference field="3" count="1">
            <x v="25"/>
          </reference>
        </references>
      </pivotArea>
    </format>
    <format dxfId="153">
      <pivotArea dataOnly="0" labelOnly="1" outline="0" fieldPosition="0">
        <references count="2">
          <reference field="2" count="1" selected="0">
            <x v="120"/>
          </reference>
          <reference field="3" count="2">
            <x v="30"/>
            <x v="37"/>
          </reference>
        </references>
      </pivotArea>
    </format>
    <format dxfId="152">
      <pivotArea dataOnly="0" labelOnly="1" outline="0" fieldPosition="0">
        <references count="2">
          <reference field="2" count="1" selected="0">
            <x v="121"/>
          </reference>
          <reference field="3" count="2">
            <x v="36"/>
            <x v="62"/>
          </reference>
        </references>
      </pivotArea>
    </format>
    <format dxfId="151">
      <pivotArea dataOnly="0" labelOnly="1" outline="0" fieldPosition="0">
        <references count="2">
          <reference field="2" count="1" selected="0">
            <x v="122"/>
          </reference>
          <reference field="3" count="1">
            <x v="67"/>
          </reference>
        </references>
      </pivotArea>
    </format>
    <format dxfId="150">
      <pivotArea dataOnly="0" labelOnly="1" outline="0" fieldPosition="0">
        <references count="2">
          <reference field="2" count="1" selected="0">
            <x v="123"/>
          </reference>
          <reference field="3" count="2">
            <x v="56"/>
            <x v="60"/>
          </reference>
        </references>
      </pivotArea>
    </format>
    <format dxfId="149">
      <pivotArea dataOnly="0" labelOnly="1" outline="0" fieldPosition="0">
        <references count="2">
          <reference field="2" count="1" selected="0">
            <x v="124"/>
          </reference>
          <reference field="3" count="1">
            <x v="41"/>
          </reference>
        </references>
      </pivotArea>
    </format>
    <format dxfId="148">
      <pivotArea dataOnly="0" labelOnly="1" outline="0" fieldPosition="0">
        <references count="2">
          <reference field="2" count="1" selected="0">
            <x v="125"/>
          </reference>
          <reference field="3" count="1">
            <x v="23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126"/>
          </reference>
          <reference field="3" count="1">
            <x v="19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127"/>
          </reference>
          <reference field="3" count="1">
            <x v="13"/>
          </reference>
        </references>
      </pivotArea>
    </format>
    <format dxfId="145">
      <pivotArea dataOnly="0" labelOnly="1" outline="0" fieldPosition="0">
        <references count="2">
          <reference field="2" count="1" selected="0">
            <x v="128"/>
          </reference>
          <reference field="3" count="1">
            <x v="48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129"/>
          </reference>
          <reference field="3" count="1">
            <x v="9"/>
          </reference>
        </references>
      </pivotArea>
    </format>
    <format dxfId="143">
      <pivotArea dataOnly="0" labelOnly="1" outline="0" fieldPosition="0">
        <references count="2">
          <reference field="2" count="1" selected="0">
            <x v="130"/>
          </reference>
          <reference field="3" count="1">
            <x v="49"/>
          </reference>
        </references>
      </pivotArea>
    </format>
    <format dxfId="142">
      <pivotArea dataOnly="0" labelOnly="1" outline="0" fieldPosition="0">
        <references count="2">
          <reference field="2" count="1" selected="0">
            <x v="131"/>
          </reference>
          <reference field="3" count="1">
            <x v="46"/>
          </reference>
        </references>
      </pivotArea>
    </format>
    <format dxfId="141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5" count="4">
            <x v="120"/>
            <x v="121"/>
            <x v="133"/>
            <x v="134"/>
          </reference>
        </references>
      </pivotArea>
    </format>
    <format dxfId="140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10"/>
          </reference>
          <reference field="5" count="1">
            <x v="112"/>
          </reference>
        </references>
      </pivotArea>
    </format>
    <format dxfId="139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54"/>
          </reference>
          <reference field="5" count="1">
            <x v="217"/>
          </reference>
        </references>
      </pivotArea>
    </format>
    <format dxfId="13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2"/>
          </reference>
          <reference field="5" count="3">
            <x v="17"/>
            <x v="18"/>
            <x v="19"/>
          </reference>
        </references>
      </pivotArea>
    </format>
    <format dxfId="13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9"/>
          </reference>
          <reference field="5" count="3">
            <x v="187"/>
            <x v="188"/>
            <x v="189"/>
          </reference>
        </references>
      </pivotArea>
    </format>
    <format dxfId="136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0"/>
          </reference>
          <reference field="5" count="1">
            <x v="172"/>
          </reference>
        </references>
      </pivotArea>
    </format>
    <format dxfId="135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40"/>
          </reference>
          <reference field="5" count="1">
            <x v="214"/>
          </reference>
        </references>
      </pivotArea>
    </format>
    <format dxfId="134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19"/>
          </reference>
          <reference field="5" count="2">
            <x v="1"/>
            <x v="2"/>
          </reference>
        </references>
      </pivotArea>
    </format>
    <format dxfId="133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27"/>
          </reference>
          <reference field="5" count="2">
            <x v="190"/>
            <x v="191"/>
          </reference>
        </references>
      </pivotArea>
    </format>
    <format dxfId="13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16"/>
          </reference>
          <reference field="5" count="3">
            <x v="156"/>
            <x v="157"/>
            <x v="158"/>
          </reference>
        </references>
      </pivotArea>
    </format>
    <format dxfId="13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"/>
          </reference>
          <reference field="5" count="1">
            <x v="75"/>
          </reference>
        </references>
      </pivotArea>
    </format>
    <format dxfId="130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16"/>
          </reference>
          <reference field="5" count="1">
            <x v="79"/>
          </reference>
        </references>
      </pivotArea>
    </format>
    <format dxfId="12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15"/>
          </reference>
          <reference field="5" count="1">
            <x v="163"/>
          </reference>
        </references>
      </pivotArea>
    </format>
    <format dxfId="128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59"/>
          </reference>
          <reference field="5" count="2">
            <x v="100"/>
            <x v="101"/>
          </reference>
        </references>
      </pivotArea>
    </format>
    <format dxfId="127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67"/>
          </reference>
          <reference field="5" count="1">
            <x v="55"/>
          </reference>
        </references>
      </pivotArea>
    </format>
    <format dxfId="126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38"/>
          </reference>
          <reference field="5" count="2">
            <x v="29"/>
            <x v="30"/>
          </reference>
        </references>
      </pivotArea>
    </format>
    <format dxfId="125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0"/>
          </reference>
          <reference field="5" count="1">
            <x v="128"/>
          </reference>
        </references>
      </pivotArea>
    </format>
    <format dxfId="124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19"/>
          </reference>
          <reference field="5" count="3">
            <x v="183"/>
            <x v="184"/>
            <x v="185"/>
          </reference>
        </references>
      </pivotArea>
    </format>
    <format dxfId="12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1"/>
          </reference>
          <reference field="5" count="3">
            <x v="164"/>
            <x v="169"/>
            <x v="170"/>
          </reference>
        </references>
      </pivotArea>
    </format>
    <format dxfId="122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55"/>
          </reference>
          <reference field="5" count="1">
            <x v="6"/>
          </reference>
        </references>
      </pivotArea>
    </format>
    <format dxfId="12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8"/>
          </reference>
          <reference field="5" count="1">
            <x v="70"/>
          </reference>
        </references>
      </pivotArea>
    </format>
    <format dxfId="12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48"/>
          </reference>
          <reference field="5" count="1">
            <x v="69"/>
          </reference>
        </references>
      </pivotArea>
    </format>
    <format dxfId="119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22"/>
          </reference>
          <reference field="5" count="1">
            <x v="212"/>
          </reference>
        </references>
      </pivotArea>
    </format>
    <format dxfId="11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0"/>
          </reference>
          <reference field="5" count="1">
            <x v="93"/>
          </reference>
        </references>
      </pivotArea>
    </format>
    <format dxfId="117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64"/>
          </reference>
          <reference field="5" count="3">
            <x v="32"/>
            <x v="33"/>
            <x v="34"/>
          </reference>
        </references>
      </pivotArea>
    </format>
    <format dxfId="116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30"/>
          </reference>
          <reference field="5" count="1">
            <x v="143"/>
          </reference>
        </references>
      </pivotArea>
    </format>
    <format dxfId="115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"/>
          </reference>
          <reference field="5" count="2">
            <x v="24"/>
            <x v="25"/>
          </reference>
        </references>
      </pivotArea>
    </format>
    <format dxfId="114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27"/>
          </reference>
          <reference field="5" count="1">
            <x v="209"/>
          </reference>
        </references>
      </pivotArea>
    </format>
    <format dxfId="113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6"/>
          </reference>
          <reference field="5" count="1">
            <x v="200"/>
          </reference>
        </references>
      </pivotArea>
    </format>
    <format dxfId="112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14"/>
          </reference>
          <reference field="5" count="2">
            <x v="207"/>
            <x v="208"/>
          </reference>
        </references>
      </pivotArea>
    </format>
    <format dxfId="111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17"/>
          </reference>
          <reference field="5" count="1">
            <x v="10"/>
          </reference>
        </references>
      </pivotArea>
    </format>
    <format dxfId="110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5"/>
          </reference>
          <reference field="5" count="1">
            <x v="165"/>
          </reference>
        </references>
      </pivotArea>
    </format>
    <format dxfId="109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46"/>
          </reference>
          <reference field="5" count="3">
            <x v="102"/>
            <x v="103"/>
            <x v="104"/>
          </reference>
        </references>
      </pivotArea>
    </format>
    <format dxfId="108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20"/>
          </reference>
          <reference field="5" count="2">
            <x v="179"/>
            <x v="180"/>
          </reference>
        </references>
      </pivotArea>
    </format>
    <format dxfId="107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29"/>
          </reference>
          <reference field="5" count="1">
            <x v="59"/>
          </reference>
        </references>
      </pivotArea>
    </format>
    <format dxfId="106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48"/>
          </reference>
          <reference field="5" count="1">
            <x v="66"/>
          </reference>
        </references>
      </pivotArea>
    </format>
    <format dxfId="105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16"/>
          </reference>
          <reference field="5" count="1">
            <x v="74"/>
          </reference>
        </references>
      </pivotArea>
    </format>
    <format dxfId="104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16"/>
          </reference>
          <reference field="5" count="1">
            <x v="77"/>
          </reference>
        </references>
      </pivotArea>
    </format>
    <format dxfId="103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8"/>
          </reference>
          <reference field="5" count="1">
            <x v="64"/>
          </reference>
        </references>
      </pivotArea>
    </format>
    <format dxfId="102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8"/>
          </reference>
          <reference field="5" count="1">
            <x v="84"/>
          </reference>
        </references>
      </pivotArea>
    </format>
    <format dxfId="101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48"/>
          </reference>
          <reference field="5" count="1">
            <x v="62"/>
          </reference>
        </references>
      </pivotArea>
    </format>
    <format dxfId="100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19"/>
          </reference>
          <reference field="5" count="2">
            <x v="0"/>
            <x v="199"/>
          </reference>
        </references>
      </pivotArea>
    </format>
    <format dxfId="99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6"/>
          </reference>
          <reference field="5" count="1">
            <x v="90"/>
          </reference>
        </references>
      </pivotArea>
    </format>
    <format dxfId="98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16"/>
          </reference>
          <reference field="5" count="1">
            <x v="73"/>
          </reference>
        </references>
      </pivotArea>
    </format>
    <format dxfId="97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48"/>
          </reference>
          <reference field="5" count="1">
            <x v="87"/>
          </reference>
        </references>
      </pivotArea>
    </format>
    <format dxfId="96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62"/>
          </reference>
          <reference field="5" count="2">
            <x v="181"/>
            <x v="182"/>
          </reference>
        </references>
      </pivotArea>
    </format>
    <format dxfId="95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28"/>
          </reference>
          <reference field="5" count="1">
            <x v="162"/>
          </reference>
        </references>
      </pivotArea>
    </format>
    <format dxfId="94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46"/>
          </reference>
          <reference field="5" count="3">
            <x v="122"/>
            <x v="123"/>
            <x v="124"/>
          </reference>
        </references>
      </pivotArea>
    </format>
    <format dxfId="93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43"/>
          </reference>
          <reference field="5" count="1">
            <x v="149"/>
          </reference>
        </references>
      </pivotArea>
    </format>
    <format dxfId="92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41"/>
          </reference>
          <reference field="5" count="1">
            <x v="26"/>
          </reference>
        </references>
      </pivotArea>
    </format>
    <format dxfId="91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6"/>
          </reference>
          <reference field="5" count="1">
            <x v="49"/>
          </reference>
        </references>
      </pivotArea>
    </format>
    <format dxfId="90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4"/>
          </reference>
          <reference field="5" count="2">
            <x v="35"/>
            <x v="36"/>
          </reference>
        </references>
      </pivotArea>
    </format>
    <format dxfId="89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16"/>
          </reference>
          <reference field="5" count="1">
            <x v="89"/>
          </reference>
        </references>
      </pivotArea>
    </format>
    <format dxfId="88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38"/>
          </reference>
          <reference field="5" count="1">
            <x v="37"/>
          </reference>
        </references>
      </pivotArea>
    </format>
    <format dxfId="87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29"/>
          </reference>
          <reference field="5" count="3">
            <x v="27"/>
            <x v="28"/>
            <x v="144"/>
          </reference>
        </references>
      </pivotArea>
    </format>
    <format dxfId="86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3"/>
          </reference>
          <reference field="5" count="1">
            <x v="210"/>
          </reference>
        </references>
      </pivotArea>
    </format>
    <format dxfId="85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34"/>
          </reference>
          <reference field="5" count="1">
            <x v="60"/>
          </reference>
        </references>
      </pivotArea>
    </format>
    <format dxfId="84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22"/>
          </reference>
          <reference field="5" count="1">
            <x v="213"/>
          </reference>
        </references>
      </pivotArea>
    </format>
    <format dxfId="83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48"/>
          </reference>
          <reference field="5" count="1">
            <x v="71"/>
          </reference>
        </references>
      </pivotArea>
    </format>
    <format dxfId="82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48"/>
          </reference>
          <reference field="5" count="1">
            <x v="65"/>
          </reference>
        </references>
      </pivotArea>
    </format>
    <format dxfId="81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0"/>
          </reference>
          <reference field="5" count="2">
            <x v="177"/>
            <x v="178"/>
          </reference>
        </references>
      </pivotArea>
    </format>
    <format dxfId="80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48"/>
          </reference>
          <reference field="5" count="1">
            <x v="152"/>
          </reference>
        </references>
      </pivotArea>
    </format>
    <format dxfId="79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39"/>
          </reference>
          <reference field="5" count="1">
            <x v="195"/>
          </reference>
        </references>
      </pivotArea>
    </format>
    <format dxfId="78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1"/>
          </reference>
          <reference field="5" count="1">
            <x v="95"/>
          </reference>
        </references>
      </pivotArea>
    </format>
    <format dxfId="77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18"/>
          </reference>
          <reference field="5" count="3">
            <x v="81"/>
            <x v="82"/>
            <x v="83"/>
          </reference>
        </references>
      </pivotArea>
    </format>
    <format dxfId="76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45"/>
          </reference>
          <reference field="5" count="1">
            <x v="216"/>
          </reference>
        </references>
      </pivotArea>
    </format>
    <format dxfId="75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63"/>
          </reference>
          <reference field="5" count="1">
            <x v="119"/>
          </reference>
        </references>
      </pivotArea>
    </format>
    <format dxfId="74">
      <pivotArea dataOnly="0" labelOnly="1" outline="0" fieldPosition="0">
        <references count="3">
          <reference field="2" count="1" selected="0">
            <x v="65"/>
          </reference>
          <reference field="3" count="1" selected="0">
            <x v="2"/>
          </reference>
          <reference field="5" count="2">
            <x v="98"/>
            <x v="99"/>
          </reference>
        </references>
      </pivotArea>
    </format>
    <format dxfId="73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26"/>
          </reference>
          <reference field="5" count="1">
            <x v="48"/>
          </reference>
        </references>
      </pivotArea>
    </format>
    <format dxfId="72">
      <pivotArea dataOnly="0" labelOnly="1" outline="0" fieldPosition="0">
        <references count="3">
          <reference field="2" count="1" selected="0">
            <x v="67"/>
          </reference>
          <reference field="3" count="1" selected="0">
            <x v="40"/>
          </reference>
          <reference field="5" count="2">
            <x v="147"/>
            <x v="148"/>
          </reference>
        </references>
      </pivotArea>
    </format>
    <format dxfId="71">
      <pivotArea dataOnly="0" labelOnly="1" outline="0" fieldPosition="0">
        <references count="3">
          <reference field="2" count="1" selected="0">
            <x v="68"/>
          </reference>
          <reference field="3" count="1" selected="0">
            <x v="36"/>
          </reference>
          <reference field="5" count="1">
            <x v="161"/>
          </reference>
        </references>
      </pivotArea>
    </format>
    <format dxfId="70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13"/>
          </reference>
          <reference field="5" count="1">
            <x v="115"/>
          </reference>
        </references>
      </pivotArea>
    </format>
    <format dxfId="69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66"/>
          </reference>
          <reference field="5" count="1">
            <x v="218"/>
          </reference>
        </references>
      </pivotArea>
    </format>
    <format dxfId="68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48"/>
          </reference>
          <reference field="5" count="1">
            <x v="61"/>
          </reference>
        </references>
      </pivotArea>
    </format>
    <format dxfId="67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35"/>
          </reference>
          <reference field="5" count="1">
            <x v="57"/>
          </reference>
        </references>
      </pivotArea>
    </format>
    <format dxfId="66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1"/>
          </reference>
          <reference field="5" count="1">
            <x v="54"/>
          </reference>
        </references>
      </pivotArea>
    </format>
    <format dxfId="65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16"/>
          </reference>
          <reference field="5" count="3">
            <x v="12"/>
            <x v="97"/>
            <x v="110"/>
          </reference>
        </references>
      </pivotArea>
    </format>
    <format dxfId="64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21"/>
          </reference>
          <reference field="5" count="1">
            <x v="186"/>
          </reference>
        </references>
      </pivotArea>
    </format>
    <format dxfId="63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13"/>
          </reference>
          <reference field="5" count="1">
            <x v="114"/>
          </reference>
        </references>
      </pivotArea>
    </format>
    <format dxfId="62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57"/>
          </reference>
          <reference field="5" count="1">
            <x v="108"/>
          </reference>
        </references>
      </pivotArea>
    </format>
    <format dxfId="61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16"/>
          </reference>
          <reference field="5" count="1">
            <x v="76"/>
          </reference>
        </references>
      </pivotArea>
    </format>
    <format dxfId="60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49"/>
          </reference>
          <reference field="5" count="1">
            <x v="131"/>
          </reference>
        </references>
      </pivotArea>
    </format>
    <format dxfId="59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7"/>
          </reference>
          <reference field="5" count="1">
            <x v="211"/>
          </reference>
        </references>
      </pivotArea>
    </format>
    <format dxfId="58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46"/>
          </reference>
          <reference field="5" count="1">
            <x v="139"/>
          </reference>
        </references>
      </pivotArea>
    </format>
    <format dxfId="57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19"/>
          </reference>
          <reference field="5" count="8">
            <x v="4"/>
            <x v="5"/>
            <x v="50"/>
            <x v="51"/>
            <x v="52"/>
            <x v="196"/>
            <x v="197"/>
            <x v="198"/>
          </reference>
        </references>
      </pivotArea>
    </format>
    <format dxfId="56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19"/>
          </reference>
          <reference field="5" count="1">
            <x v="3"/>
          </reference>
        </references>
      </pivotArea>
    </format>
    <format dxfId="55">
      <pivotArea dataOnly="0" labelOnly="1" outline="0" fieldPosition="0">
        <references count="3">
          <reference field="2" count="1" selected="0">
            <x v="82"/>
          </reference>
          <reference field="3" count="1" selected="0">
            <x v="52"/>
          </reference>
          <reference field="5" count="1">
            <x v="118"/>
          </reference>
        </references>
      </pivotArea>
    </format>
    <format dxfId="54">
      <pivotArea dataOnly="0" labelOnly="1" outline="0" fieldPosition="0">
        <references count="3">
          <reference field="2" count="1" selected="0">
            <x v="83"/>
          </reference>
          <reference field="3" count="1" selected="0">
            <x v="46"/>
          </reference>
          <reference field="5" count="1">
            <x v="41"/>
          </reference>
        </references>
      </pivotArea>
    </format>
    <format dxfId="53">
      <pivotArea dataOnly="0" labelOnly="1" outline="0" fieldPosition="0">
        <references count="3">
          <reference field="2" count="1" selected="0">
            <x v="84"/>
          </reference>
          <reference field="3" count="1" selected="0">
            <x v="58"/>
          </reference>
          <reference field="5" count="2">
            <x v="116"/>
            <x v="117"/>
          </reference>
        </references>
      </pivotArea>
    </format>
    <format dxfId="52">
      <pivotArea dataOnly="0" labelOnly="1" outline="0" fieldPosition="0">
        <references count="3">
          <reference field="2" count="1" selected="0">
            <x v="85"/>
          </reference>
          <reference field="3" count="1" selected="0">
            <x v="53"/>
          </reference>
          <reference field="5" count="2">
            <x v="150"/>
            <x v="151"/>
          </reference>
        </references>
      </pivotArea>
    </format>
    <format dxfId="51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24"/>
          </reference>
          <reference field="5" count="1">
            <x v="215"/>
          </reference>
        </references>
      </pivotArea>
    </format>
    <format dxfId="50">
      <pivotArea dataOnly="0" labelOnly="1" outline="0" fieldPosition="0">
        <references count="3">
          <reference field="2" count="1" selected="0">
            <x v="87"/>
          </reference>
          <reference field="3" count="1" selected="0">
            <x v="49"/>
          </reference>
          <reference field="5" count="1">
            <x v="92"/>
          </reference>
        </references>
      </pivotArea>
    </format>
    <format dxfId="49">
      <pivotArea dataOnly="0" labelOnly="1" outline="0" fieldPosition="0">
        <references count="3">
          <reference field="2" count="1" selected="0">
            <x v="88"/>
          </reference>
          <reference field="3" count="1" selected="0">
            <x v="48"/>
          </reference>
          <reference field="5" count="1">
            <x v="63"/>
          </reference>
        </references>
      </pivotArea>
    </format>
    <format dxfId="48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46"/>
          </reference>
          <reference field="5" count="1">
            <x v="31"/>
          </reference>
        </references>
      </pivotArea>
    </format>
    <format dxfId="47">
      <pivotArea dataOnly="0" labelOnly="1" outline="0" fieldPosition="0">
        <references count="3">
          <reference field="2" count="1" selected="0">
            <x v="90"/>
          </reference>
          <reference field="3" count="1" selected="0">
            <x v="16"/>
          </reference>
          <reference field="5" count="1">
            <x v="80"/>
          </reference>
        </references>
      </pivotArea>
    </format>
    <format dxfId="46">
      <pivotArea dataOnly="0" labelOnly="1" outline="0" fieldPosition="0">
        <references count="3">
          <reference field="2" count="1" selected="0">
            <x v="91"/>
          </reference>
          <reference field="3" count="1" selected="0">
            <x v="12"/>
          </reference>
          <reference field="5" count="2">
            <x v="22"/>
            <x v="23"/>
          </reference>
        </references>
      </pivotArea>
    </format>
    <format dxfId="45">
      <pivotArea dataOnly="0" labelOnly="1" outline="0" fieldPosition="0">
        <references count="3">
          <reference field="2" count="1" selected="0">
            <x v="92"/>
          </reference>
          <reference field="3" count="1" selected="0">
            <x v="13"/>
          </reference>
          <reference field="5" count="2">
            <x v="109"/>
            <x v="175"/>
          </reference>
        </references>
      </pivotArea>
    </format>
    <format dxfId="44">
      <pivotArea dataOnly="0" labelOnly="1" outline="0" fieldPosition="0">
        <references count="3">
          <reference field="2" count="1" selected="0">
            <x v="93"/>
          </reference>
          <reference field="3" count="1" selected="0">
            <x v="50"/>
          </reference>
          <reference field="5" count="1">
            <x v="94"/>
          </reference>
        </references>
      </pivotArea>
    </format>
    <format dxfId="43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46"/>
          </reference>
          <reference field="5" count="3">
            <x v="38"/>
            <x v="39"/>
            <x v="40"/>
          </reference>
        </references>
      </pivotArea>
    </format>
    <format dxfId="42">
      <pivotArea dataOnly="0" labelOnly="1" outline="0" fieldPosition="0">
        <references count="3">
          <reference field="2" count="1" selected="0">
            <x v="95"/>
          </reference>
          <reference field="3" count="1" selected="0">
            <x v="4"/>
          </reference>
          <reference field="5" count="1">
            <x v="58"/>
          </reference>
        </references>
      </pivotArea>
    </format>
    <format dxfId="41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47"/>
          </reference>
          <reference field="5" count="5">
            <x v="46"/>
            <x v="47"/>
            <x v="203"/>
            <x v="204"/>
            <x v="205"/>
          </reference>
        </references>
      </pivotArea>
    </format>
    <format dxfId="40">
      <pivotArea dataOnly="0" labelOnly="1" outline="0" fieldPosition="0">
        <references count="3">
          <reference field="2" count="1" selected="0">
            <x v="97"/>
          </reference>
          <reference field="3" count="1" selected="0">
            <x v="47"/>
          </reference>
          <reference field="5" count="3">
            <x v="20"/>
            <x v="21"/>
            <x v="53"/>
          </reference>
        </references>
      </pivotArea>
    </format>
    <format dxfId="39">
      <pivotArea dataOnly="0" labelOnly="1" outline="0" fieldPosition="0">
        <references count="3">
          <reference field="2" count="1" selected="0">
            <x v="98"/>
          </reference>
          <reference field="3" count="1" selected="0">
            <x v="46"/>
          </reference>
          <reference field="5" count="2">
            <x v="168"/>
            <x v="171"/>
          </reference>
        </references>
      </pivotArea>
    </format>
    <format dxfId="38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47"/>
          </reference>
          <reference field="5" count="2">
            <x v="166"/>
            <x v="167"/>
          </reference>
        </references>
      </pivotArea>
    </format>
    <format dxfId="37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33"/>
          </reference>
          <reference field="5" count="1">
            <x v="113"/>
          </reference>
        </references>
      </pivotArea>
    </format>
    <format dxfId="36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51"/>
          </reference>
          <reference field="5" count="3">
            <x v="125"/>
            <x v="126"/>
            <x v="127"/>
          </reference>
        </references>
      </pivotArea>
    </format>
    <format dxfId="35">
      <pivotArea dataOnly="0" labelOnly="1" outline="0" fieldPosition="0">
        <references count="3">
          <reference field="2" count="1" selected="0">
            <x v="101"/>
          </reference>
          <reference field="3" count="1" selected="0">
            <x v="62"/>
          </reference>
          <reference field="5" count="4">
            <x v="182"/>
            <x v="192"/>
            <x v="193"/>
            <x v="194"/>
          </reference>
        </references>
      </pivotArea>
    </format>
    <format dxfId="34">
      <pivotArea dataOnly="0" labelOnly="1" outline="0" fieldPosition="0">
        <references count="3">
          <reference field="2" count="1" selected="0">
            <x v="102"/>
          </reference>
          <reference field="3" count="1" selected="0">
            <x v="16"/>
          </reference>
          <reference field="5" count="1">
            <x v="56"/>
          </reference>
        </references>
      </pivotArea>
    </format>
    <format dxfId="33">
      <pivotArea dataOnly="0" labelOnly="1" outline="0" fieldPosition="0">
        <references count="3">
          <reference field="2" count="1" selected="0">
            <x v="103"/>
          </reference>
          <reference field="3" count="1" selected="0">
            <x v="44"/>
          </reference>
          <reference field="5" count="1">
            <x v="176"/>
          </reference>
        </references>
      </pivotArea>
    </format>
    <format dxfId="32">
      <pivotArea dataOnly="0" labelOnly="1" outline="0" fieldPosition="0">
        <references count="3">
          <reference field="2" count="1" selected="0">
            <x v="104"/>
          </reference>
          <reference field="3" count="1" selected="0">
            <x v="48"/>
          </reference>
          <reference field="5" count="1">
            <x v="86"/>
          </reference>
        </references>
      </pivotArea>
    </format>
    <format dxfId="31">
      <pivotArea dataOnly="0" labelOnly="1" outline="0" fieldPosition="0">
        <references count="3">
          <reference field="2" count="1" selected="0">
            <x v="105"/>
          </reference>
          <reference field="3" count="1" selected="0">
            <x v="16"/>
          </reference>
          <reference field="5" count="1">
            <x v="78"/>
          </reference>
        </references>
      </pivotArea>
    </format>
    <format dxfId="30">
      <pivotArea dataOnly="0" labelOnly="1" outline="0" fieldPosition="0">
        <references count="3">
          <reference field="2" count="1" selected="0">
            <x v="106"/>
          </reference>
          <reference field="3" count="1" selected="0">
            <x v="48"/>
          </reference>
          <reference field="5" count="1">
            <x v="88"/>
          </reference>
        </references>
      </pivotArea>
    </format>
    <format dxfId="29">
      <pivotArea dataOnly="0" labelOnly="1" outline="0" fieldPosition="0">
        <references count="3">
          <reference field="2" count="1" selected="0">
            <x v="107"/>
          </reference>
          <reference field="3" count="1" selected="0">
            <x v="48"/>
          </reference>
          <reference field="5" count="1">
            <x v="85"/>
          </reference>
        </references>
      </pivotArea>
    </format>
    <format dxfId="28">
      <pivotArea dataOnly="0" labelOnly="1" outline="0" fieldPosition="0">
        <references count="3">
          <reference field="2" count="1" selected="0">
            <x v="108"/>
          </reference>
          <reference field="3" count="1" selected="0">
            <x v="0"/>
          </reference>
          <reference field="5" count="1">
            <x v="155"/>
          </reference>
        </references>
      </pivotArea>
    </format>
    <format dxfId="27">
      <pivotArea dataOnly="0" labelOnly="1" outline="0" fieldPosition="0">
        <references count="3">
          <reference field="2" count="1" selected="0">
            <x v="109"/>
          </reference>
          <reference field="3" count="1" selected="0">
            <x v="48"/>
          </reference>
          <reference field="5" count="1">
            <x v="68"/>
          </reference>
        </references>
      </pivotArea>
    </format>
    <format dxfId="26">
      <pivotArea dataOnly="0" labelOnly="1" outline="0" fieldPosition="0">
        <references count="3">
          <reference field="2" count="1" selected="0">
            <x v="110"/>
          </reference>
          <reference field="3" count="1" selected="0">
            <x v="48"/>
          </reference>
          <reference field="5" count="1">
            <x v="72"/>
          </reference>
        </references>
      </pivotArea>
    </format>
    <format dxfId="25">
      <pivotArea dataOnly="0" labelOnly="1" outline="0" fieldPosition="0">
        <references count="3">
          <reference field="2" count="1" selected="0">
            <x v="111"/>
          </reference>
          <reference field="3" count="1" selected="0">
            <x v="27"/>
          </reference>
          <reference field="5" count="1">
            <x v="13"/>
          </reference>
        </references>
      </pivotArea>
    </format>
    <format dxfId="24">
      <pivotArea dataOnly="0" labelOnly="1" outline="0" fieldPosition="0">
        <references count="3">
          <reference field="2" count="1" selected="0">
            <x v="112"/>
          </reference>
          <reference field="3" count="1" selected="0">
            <x v="42"/>
          </reference>
          <reference field="5" count="3">
            <x v="43"/>
            <x v="44"/>
            <x v="45"/>
          </reference>
        </references>
      </pivotArea>
    </format>
    <format dxfId="23">
      <pivotArea dataOnly="0" labelOnly="1" outline="0" fieldPosition="0">
        <references count="3">
          <reference field="2" count="1" selected="0">
            <x v="113"/>
          </reference>
          <reference field="3" count="1" selected="0">
            <x v="48"/>
          </reference>
          <reference field="5" count="1">
            <x v="86"/>
          </reference>
        </references>
      </pivotArea>
    </format>
    <format dxfId="22">
      <pivotArea dataOnly="0" labelOnly="1" outline="0" fieldPosition="0">
        <references count="3">
          <reference field="2" count="1" selected="0">
            <x v="114"/>
          </reference>
          <reference field="3" count="1" selected="0">
            <x v="61"/>
          </reference>
          <reference field="5" count="3">
            <x v="140"/>
            <x v="141"/>
            <x v="142"/>
          </reference>
        </references>
      </pivotArea>
    </format>
    <format dxfId="21">
      <pivotArea dataOnly="0" labelOnly="1" outline="0" fieldPosition="0">
        <references count="3">
          <reference field="2" count="1" selected="0">
            <x v="115"/>
          </reference>
          <reference field="3" count="1" selected="0">
            <x v="31"/>
          </reference>
          <reference field="5" count="1">
            <x v="91"/>
          </reference>
        </references>
      </pivotArea>
    </format>
    <format dxfId="20">
      <pivotArea dataOnly="0" labelOnly="1" outline="0" fieldPosition="0">
        <references count="3">
          <reference field="2" count="1" selected="0">
            <x v="116"/>
          </reference>
          <reference field="3" count="1" selected="0">
            <x v="32"/>
          </reference>
          <reference field="5" count="2">
            <x v="153"/>
            <x v="154"/>
          </reference>
        </references>
      </pivotArea>
    </format>
    <format dxfId="19">
      <pivotArea dataOnly="0" labelOnly="1" outline="0" fieldPosition="0">
        <references count="3">
          <reference field="2" count="1" selected="0">
            <x v="117"/>
          </reference>
          <reference field="3" count="1" selected="0">
            <x v="8"/>
          </reference>
          <reference field="5" count="2">
            <x v="7"/>
            <x v="8"/>
          </reference>
        </references>
      </pivotArea>
    </format>
    <format dxfId="18">
      <pivotArea dataOnly="0" labelOnly="1" outline="0" fieldPosition="0">
        <references count="3">
          <reference field="2" count="1" selected="0">
            <x v="118"/>
          </reference>
          <reference field="3" count="1" selected="0">
            <x v="5"/>
          </reference>
          <reference field="5" count="1">
            <x v="111"/>
          </reference>
        </references>
      </pivotArea>
    </format>
    <format dxfId="17">
      <pivotArea dataOnly="0" labelOnly="1" outline="0" fieldPosition="0">
        <references count="3">
          <reference field="2" count="1" selected="0">
            <x v="119"/>
          </reference>
          <reference field="3" count="1" selected="0">
            <x v="25"/>
          </reference>
          <reference field="5" count="3">
            <x v="105"/>
            <x v="106"/>
            <x v="107"/>
          </reference>
        </references>
      </pivotArea>
    </format>
    <format dxfId="16">
      <pivotArea dataOnly="0" labelOnly="1" outline="0" fieldPosition="0">
        <references count="3">
          <reference field="2" count="1" selected="0">
            <x v="120"/>
          </reference>
          <reference field="3" count="1" selected="0">
            <x v="30"/>
          </reference>
          <reference field="5" count="1">
            <x v="96"/>
          </reference>
        </references>
      </pivotArea>
    </format>
    <format dxfId="15">
      <pivotArea dataOnly="0" labelOnly="1" outline="0" fieldPosition="0">
        <references count="3">
          <reference field="2" count="1" selected="0">
            <x v="120"/>
          </reference>
          <reference field="3" count="1" selected="0">
            <x v="37"/>
          </reference>
          <reference field="5" count="1">
            <x v="132"/>
          </reference>
        </references>
      </pivotArea>
    </format>
    <format dxfId="14">
      <pivotArea dataOnly="0" labelOnly="1" outline="0" fieldPosition="0">
        <references count="3">
          <reference field="2" count="1" selected="0">
            <x v="121"/>
          </reference>
          <reference field="3" count="1" selected="0">
            <x v="36"/>
          </reference>
          <reference field="5" count="3">
            <x v="136"/>
            <x v="137"/>
            <x v="138"/>
          </reference>
        </references>
      </pivotArea>
    </format>
    <format dxfId="13">
      <pivotArea dataOnly="0" labelOnly="1" outline="0" fieldPosition="0">
        <references count="3">
          <reference field="2" count="1" selected="0">
            <x v="121"/>
          </reference>
          <reference field="3" count="1" selected="0">
            <x v="62"/>
          </reference>
          <reference field="5" count="1">
            <x v="92"/>
          </reference>
        </references>
      </pivotArea>
    </format>
    <format dxfId="12">
      <pivotArea dataOnly="0" labelOnly="1" outline="0" fieldPosition="0">
        <references count="3">
          <reference field="2" count="1" selected="0">
            <x v="122"/>
          </reference>
          <reference field="3" count="1" selected="0">
            <x v="67"/>
          </reference>
          <reference field="5" count="1">
            <x v="42"/>
          </reference>
        </references>
      </pivotArea>
    </format>
    <format dxfId="11">
      <pivotArea dataOnly="0" labelOnly="1" outline="0" fieldPosition="0">
        <references count="3">
          <reference field="2" count="1" selected="0">
            <x v="123"/>
          </reference>
          <reference field="3" count="1" selected="0">
            <x v="56"/>
          </reference>
          <reference field="5" count="1">
            <x v="135"/>
          </reference>
        </references>
      </pivotArea>
    </format>
    <format dxfId="10">
      <pivotArea dataOnly="0" labelOnly="1" outline="0" fieldPosition="0">
        <references count="3">
          <reference field="2" count="1" selected="0">
            <x v="123"/>
          </reference>
          <reference field="3" count="1" selected="0">
            <x v="60"/>
          </reference>
          <reference field="5" count="1">
            <x v="206"/>
          </reference>
        </references>
      </pivotArea>
    </format>
    <format dxfId="9">
      <pivotArea dataOnly="0" labelOnly="1" outline="0" fieldPosition="0">
        <references count="3">
          <reference field="2" count="1" selected="0">
            <x v="124"/>
          </reference>
          <reference field="3" count="1" selected="0">
            <x v="41"/>
          </reference>
          <reference field="5" count="2">
            <x v="173"/>
            <x v="174"/>
          </reference>
        </references>
      </pivotArea>
    </format>
    <format dxfId="8">
      <pivotArea dataOnly="0" labelOnly="1" outline="0" fieldPosition="0">
        <references count="3">
          <reference field="2" count="1" selected="0">
            <x v="125"/>
          </reference>
          <reference field="3" count="1" selected="0">
            <x v="23"/>
          </reference>
          <reference field="5" count="3">
            <x v="9"/>
            <x v="145"/>
            <x v="146"/>
          </reference>
        </references>
      </pivotArea>
    </format>
    <format dxfId="7">
      <pivotArea dataOnly="0" labelOnly="1" outline="0" fieldPosition="0">
        <references count="3">
          <reference field="2" count="1" selected="0">
            <x v="126"/>
          </reference>
          <reference field="3" count="1" selected="0">
            <x v="19"/>
          </reference>
          <reference field="5" count="2">
            <x v="159"/>
            <x v="160"/>
          </reference>
        </references>
      </pivotArea>
    </format>
    <format dxfId="6">
      <pivotArea dataOnly="0" labelOnly="1" outline="0" fieldPosition="0">
        <references count="3">
          <reference field="2" count="1" selected="0">
            <x v="127"/>
          </reference>
          <reference field="3" count="1" selected="0">
            <x v="13"/>
          </reference>
          <reference field="5" count="2">
            <x v="129"/>
            <x v="130"/>
          </reference>
        </references>
      </pivotArea>
    </format>
    <format dxfId="5">
      <pivotArea dataOnly="0" labelOnly="1" outline="0" fieldPosition="0">
        <references count="3">
          <reference field="2" count="1" selected="0">
            <x v="128"/>
          </reference>
          <reference field="3" count="1" selected="0">
            <x v="48"/>
          </reference>
          <reference field="5" count="1">
            <x v="67"/>
          </reference>
        </references>
      </pivotArea>
    </format>
    <format dxfId="4">
      <pivotArea dataOnly="0" labelOnly="1" outline="0" fieldPosition="0">
        <references count="3">
          <reference field="2" count="1" selected="0">
            <x v="129"/>
          </reference>
          <reference field="3" count="1" selected="0">
            <x v="9"/>
          </reference>
          <reference field="5" count="1">
            <x v="11"/>
          </reference>
        </references>
      </pivotArea>
    </format>
    <format dxfId="3">
      <pivotArea dataOnly="0" labelOnly="1" outline="0" fieldPosition="0">
        <references count="3">
          <reference field="2" count="1" selected="0">
            <x v="130"/>
          </reference>
          <reference field="3" count="1" selected="0">
            <x v="49"/>
          </reference>
          <reference field="5" count="2">
            <x v="201"/>
            <x v="202"/>
          </reference>
        </references>
      </pivotArea>
    </format>
    <format dxfId="2">
      <pivotArea dataOnly="0" labelOnly="1" outline="0" fieldPosition="0">
        <references count="3">
          <reference field="2" count="1" selected="0">
            <x v="131"/>
          </reference>
          <reference field="3" count="1" selected="0">
            <x v="46"/>
          </reference>
          <reference field="5" count="3">
            <x v="14"/>
            <x v="15"/>
            <x v="16"/>
          </reference>
        </references>
      </pivotArea>
    </format>
    <format dxfId="1">
      <pivotArea dataOnly="0" labelOnly="1" outline="0" fieldPosition="0">
        <references count="1">
          <reference field="2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4302B-64C5-4332-85F9-92A84CB83A29}" name="Table1" displayName="Table1" ref="A2:AD342" totalsRowShown="0" headerRowDxfId="308" dataDxfId="306" headerRowBorderDxfId="307" tableBorderDxfId="305" totalsRowBorderDxfId="304">
  <autoFilter ref="A2:AD342" xr:uid="{5E94302B-64C5-4332-85F9-92A84CB83A29}">
    <filterColumn colId="6">
      <filters>
        <dateGroupItem year="2026" month="7" dateTimeGrouping="month"/>
        <dateGroupItem year="2026" month="8" day="1" dateTimeGrouping="day"/>
        <dateGroupItem year="2026" month="8" day="3" dateTimeGrouping="day"/>
        <dateGroupItem year="2026" month="8" day="4" dateTimeGrouping="day"/>
        <dateGroupItem year="2026" month="8" day="5" dateTimeGrouping="day"/>
        <dateGroupItem year="2026" month="8" day="7" dateTimeGrouping="day"/>
        <dateGroupItem year="2026" month="8" day="8" dateTimeGrouping="day"/>
        <dateGroupItem year="2026" month="8" day="10" dateTimeGrouping="day"/>
        <dateGroupItem year="2026" month="8" day="11" dateTimeGrouping="day"/>
        <dateGroupItem year="2026" month="8" day="12" dateTimeGrouping="day"/>
        <dateGroupItem year="2026" month="8" day="13" dateTimeGrouping="day"/>
        <dateGroupItem year="2026" month="8" day="14" dateTimeGrouping="day"/>
        <dateGroupItem year="2026" month="8" day="15" dateTimeGrouping="day"/>
      </filters>
    </filterColumn>
    <filterColumn colId="29">
      <filters>
        <filter val="Received"/>
      </filters>
    </filterColumn>
  </autoFilter>
  <tableColumns count="30">
    <tableColumn id="1" xr3:uid="{A98194DF-230D-4E7E-B1CE-D5EF3B9C5CB8}" name="SR. NO." dataDxfId="303">
      <calculatedColumnFormula>A2+1</calculatedColumnFormula>
    </tableColumn>
    <tableColumn id="2" xr3:uid="{578C0CCA-6F50-445F-B51E-9D3E9C456DA9}" name="PICKUP LOCATION" dataDxfId="302"/>
    <tableColumn id="3" xr3:uid="{7E67DC13-C5D8-4E6D-9218-CC34057D1666}" name="PARTY NAME" dataDxfId="301"/>
    <tableColumn id="4" xr3:uid="{F8853ABD-1598-4C8F-A23E-FC0191C51123}" name="DESTINATION" dataDxfId="300"/>
    <tableColumn id="5" xr3:uid="{18A55703-C439-47CA-926C-4CF111824EEB}" name="INVOICE NUMBER" dataDxfId="299"/>
    <tableColumn id="6" xr3:uid="{C29F509D-0A28-4CFD-A7F4-1A5FC3BF4FB5}" name="LR. NO." dataDxfId="298"/>
    <tableColumn id="7" xr3:uid="{8BB8FA91-4835-4639-9C5E-2304242B1D7A}" name="LR DATE" dataDxfId="297"/>
    <tableColumn id="8" xr3:uid="{9A8F3F4A-EB60-4B7A-9C21-09ADA282B3F0}" name="Route Code" dataDxfId="296"/>
    <tableColumn id="9" xr3:uid="{1152882E-06ED-4018-9DCD-7F8E49E56D12}" name="MATERIAL DETAILS" dataDxfId="295"/>
    <tableColumn id="10" xr3:uid="{42DB30C7-13AF-49F0-BBDF-A6428A26FAA6}" name="TRANSPOTER NAME" dataDxfId="294"/>
    <tableColumn id="11" xr3:uid="{3FC26707-D338-456E-92D6-610620555C27}" name="Bucket" dataDxfId="293"/>
    <tableColumn id="12" xr3:uid="{8C67F4E7-F2D9-4E51-B66B-73B7FDE48467}" name="TOTAL QUANTITY IN LTRS" dataDxfId="292"/>
    <tableColumn id="13" xr3:uid="{7EDCB0B3-9E82-4A6B-BC0D-779D74800006}" name="LOAD TYPE FTL/PTL" dataDxfId="291"/>
    <tableColumn id="14" xr3:uid="{91930D93-1E8F-400F-9427-D43C1B7C83EE}" name="EXPECTED DELIVERY DATE" dataDxfId="290"/>
    <tableColumn id="15" xr3:uid="{24EE2781-490A-4F40-809F-032B8074408E}" name="ACTUAL DELIVERY DATE" dataDxfId="289"/>
    <tableColumn id="16" xr3:uid="{BBCF2921-39F0-461F-9524-5E8BBA57E922}" name="DELIVERY STATUS" dataDxfId="288"/>
    <tableColumn id="17" xr3:uid="{59BF95B4-860A-489E-8A4C-3BAD903C8428}" name="LR STATUS" dataDxfId="287"/>
    <tableColumn id="18" xr3:uid="{27F0B4B1-55A7-4150-A2E6-641C2EC21D49}" name="DAMAGE" dataDxfId="286"/>
    <tableColumn id="19" xr3:uid="{C9B89C1C-70A6-44DB-82F1-F9482A23276A}" name="LOADING CHARGES" dataDxfId="285"/>
    <tableColumn id="20" xr3:uid="{12CCF46B-F081-4184-B3BF-39C49710BDD4}" name="UNLOADING CHARGES" dataDxfId="284"/>
    <tableColumn id="21" xr3:uid="{C020CC9D-A1F3-4EE9-91CA-6BEEE6C9A2DE}" name="VEHICLE NUMBER" dataDxfId="283"/>
    <tableColumn id="22" xr3:uid="{4EF42E44-C28F-4CC2-A33E-F704BA103EBA}" name="VEHICLE TYPE" dataDxfId="282"/>
    <tableColumn id="23" xr3:uid="{158E08FC-CFD2-4D11-87F2-A02809726021}" name="PLY" dataDxfId="281"/>
    <tableColumn id="24" xr3:uid="{3ED04FD2-D254-4B88-81B3-9D52BB80D2AE}" name="Remarsk" dataDxfId="280"/>
    <tableColumn id="25" xr3:uid="{5943A579-36A8-457E-82B2-5869388D3B17}" name="Remarks 1" dataDxfId="279"/>
    <tableColumn id="26" xr3:uid="{106ED22C-8996-4395-8190-D7E52566EAAE}" name="Dispatch Date" dataDxfId="278"/>
    <tableColumn id="27" xr3:uid="{FB3CE5AE-D64A-4772-ABB5-F7F6BACD1AC3}" name="Dispatch Vehicle" dataDxfId="277"/>
    <tableColumn id="28" xr3:uid="{5E17DA44-5DB0-4389-9D86-A554280E0E1E}" name="Vendor Name" dataDxfId="276"/>
    <tableColumn id="29" xr3:uid="{CFE9001D-8CD3-4CD4-9FEE-5F9F20EE2F29}" name="Route Code2" dataDxfId="275"/>
    <tableColumn id="30" xr3:uid="{A0E61C88-160E-4ABD-9412-10986308B802}" name="POD Status" dataDxfId="2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140F0C-20C5-4BD3-A4E9-DE1458188105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5718-ECAE-4D2F-8CED-EF47F1CFA261}">
  <dimension ref="A3:E119"/>
  <sheetViews>
    <sheetView workbookViewId="0"/>
  </sheetViews>
  <sheetFormatPr defaultColWidth="8.77734375" defaultRowHeight="14.4" x14ac:dyDescent="0.3"/>
  <cols>
    <col min="1" max="1" width="36.77734375" bestFit="1" customWidth="1"/>
    <col min="2" max="2" width="15.44140625" bestFit="1" customWidth="1"/>
    <col min="3" max="3" width="9.44140625" bestFit="1" customWidth="1"/>
    <col min="4" max="4" width="11.77734375" bestFit="1" customWidth="1"/>
    <col min="5" max="6" width="10.77734375" bestFit="1" customWidth="1"/>
  </cols>
  <sheetData>
    <row r="3" spans="1:5" x14ac:dyDescent="0.3">
      <c r="A3" s="2" t="s">
        <v>343</v>
      </c>
      <c r="B3" s="1"/>
      <c r="C3" s="1"/>
      <c r="D3" s="2" t="s">
        <v>413</v>
      </c>
      <c r="E3" s="1"/>
    </row>
    <row r="4" spans="1:5" x14ac:dyDescent="0.3">
      <c r="A4" s="2" t="s">
        <v>2</v>
      </c>
      <c r="B4" s="2" t="s">
        <v>3</v>
      </c>
      <c r="C4" s="2" t="s">
        <v>5</v>
      </c>
      <c r="D4" s="1" t="s">
        <v>25</v>
      </c>
      <c r="E4" s="1" t="s">
        <v>220</v>
      </c>
    </row>
    <row r="5" spans="1:5" x14ac:dyDescent="0.3">
      <c r="A5" s="1" t="s">
        <v>463</v>
      </c>
      <c r="B5" s="1" t="s">
        <v>464</v>
      </c>
      <c r="C5" s="1">
        <v>1577</v>
      </c>
      <c r="D5" s="1">
        <v>100</v>
      </c>
      <c r="E5" s="1">
        <v>100</v>
      </c>
    </row>
    <row r="6" spans="1:5" x14ac:dyDescent="0.3">
      <c r="A6" s="1" t="s">
        <v>262</v>
      </c>
      <c r="B6" s="1" t="s">
        <v>263</v>
      </c>
      <c r="C6" s="1">
        <v>1318</v>
      </c>
      <c r="D6" s="1">
        <v>300</v>
      </c>
      <c r="E6" s="1">
        <v>300</v>
      </c>
    </row>
    <row r="7" spans="1:5" x14ac:dyDescent="0.3">
      <c r="A7" s="1"/>
      <c r="B7" s="1"/>
      <c r="C7" s="1">
        <v>1319</v>
      </c>
      <c r="D7" s="1">
        <v>120</v>
      </c>
      <c r="E7" s="1">
        <v>120</v>
      </c>
    </row>
    <row r="8" spans="1:5" x14ac:dyDescent="0.3">
      <c r="A8" s="1"/>
      <c r="B8" s="1"/>
      <c r="C8" s="1">
        <v>1320</v>
      </c>
      <c r="D8" s="1">
        <v>48</v>
      </c>
      <c r="E8" s="1">
        <v>48</v>
      </c>
    </row>
    <row r="9" spans="1:5" x14ac:dyDescent="0.3">
      <c r="A9" s="1" t="s">
        <v>163</v>
      </c>
      <c r="B9" s="1" t="s">
        <v>139</v>
      </c>
      <c r="C9" s="1">
        <v>1473</v>
      </c>
      <c r="D9" s="1">
        <v>240</v>
      </c>
      <c r="E9" s="1">
        <v>240</v>
      </c>
    </row>
    <row r="10" spans="1:5" x14ac:dyDescent="0.3">
      <c r="A10" s="1" t="s">
        <v>456</v>
      </c>
      <c r="B10" s="1" t="s">
        <v>121</v>
      </c>
      <c r="C10" s="1">
        <v>1565</v>
      </c>
      <c r="D10" s="1">
        <v>26</v>
      </c>
      <c r="E10" s="1">
        <v>26</v>
      </c>
    </row>
    <row r="11" spans="1:5" x14ac:dyDescent="0.3">
      <c r="A11" s="1" t="s">
        <v>213</v>
      </c>
      <c r="B11" s="1" t="s">
        <v>214</v>
      </c>
      <c r="C11" s="1">
        <v>1491</v>
      </c>
      <c r="D11" s="1">
        <v>240</v>
      </c>
      <c r="E11" s="1">
        <v>240</v>
      </c>
    </row>
    <row r="12" spans="1:5" x14ac:dyDescent="0.3">
      <c r="A12" s="1"/>
      <c r="B12" s="1"/>
      <c r="C12" s="1">
        <v>1492</v>
      </c>
      <c r="D12" s="1">
        <v>200</v>
      </c>
      <c r="E12" s="1">
        <v>200</v>
      </c>
    </row>
    <row r="13" spans="1:5" x14ac:dyDescent="0.3">
      <c r="A13" s="1" t="s">
        <v>168</v>
      </c>
      <c r="B13" s="1" t="s">
        <v>169</v>
      </c>
      <c r="C13" s="1">
        <v>1464</v>
      </c>
      <c r="D13" s="1">
        <v>420</v>
      </c>
      <c r="E13" s="1">
        <v>420</v>
      </c>
    </row>
    <row r="14" spans="1:5" x14ac:dyDescent="0.3">
      <c r="A14" s="1" t="s">
        <v>327</v>
      </c>
      <c r="B14" s="1" t="s">
        <v>304</v>
      </c>
      <c r="C14" s="1">
        <v>1356</v>
      </c>
      <c r="D14" s="1">
        <v>300</v>
      </c>
      <c r="E14" s="1">
        <v>300</v>
      </c>
    </row>
    <row r="15" spans="1:5" x14ac:dyDescent="0.3">
      <c r="A15" s="1" t="s">
        <v>280</v>
      </c>
      <c r="B15" s="1" t="s">
        <v>281</v>
      </c>
      <c r="C15" s="1">
        <v>1330</v>
      </c>
      <c r="D15" s="1">
        <v>60</v>
      </c>
      <c r="E15" s="1">
        <v>60</v>
      </c>
    </row>
    <row r="16" spans="1:5" x14ac:dyDescent="0.3">
      <c r="A16" s="1"/>
      <c r="B16" s="1"/>
      <c r="C16" s="1">
        <v>1331</v>
      </c>
      <c r="D16" s="1">
        <v>50</v>
      </c>
      <c r="E16" s="1">
        <v>50</v>
      </c>
    </row>
    <row r="17" spans="1:5" x14ac:dyDescent="0.3">
      <c r="A17" s="1" t="s">
        <v>241</v>
      </c>
      <c r="B17" s="1" t="s">
        <v>242</v>
      </c>
      <c r="C17" s="1">
        <v>1307</v>
      </c>
      <c r="D17" s="1">
        <v>120</v>
      </c>
      <c r="E17" s="1">
        <v>120</v>
      </c>
    </row>
    <row r="18" spans="1:5" x14ac:dyDescent="0.3">
      <c r="A18" s="1" t="s">
        <v>451</v>
      </c>
      <c r="B18" s="1" t="s">
        <v>452</v>
      </c>
      <c r="C18" s="1">
        <v>1563</v>
      </c>
      <c r="D18" s="1">
        <v>26</v>
      </c>
      <c r="E18" s="1">
        <v>26</v>
      </c>
    </row>
    <row r="19" spans="1:5" x14ac:dyDescent="0.3">
      <c r="A19" s="1" t="s">
        <v>409</v>
      </c>
      <c r="B19" s="1" t="s">
        <v>121</v>
      </c>
      <c r="C19" s="1">
        <v>1394</v>
      </c>
      <c r="D19" s="1">
        <v>28</v>
      </c>
      <c r="E19" s="1">
        <v>28</v>
      </c>
    </row>
    <row r="20" spans="1:5" x14ac:dyDescent="0.3">
      <c r="A20" s="1" t="s">
        <v>286</v>
      </c>
      <c r="B20" s="1" t="s">
        <v>287</v>
      </c>
      <c r="C20" s="1">
        <v>1333</v>
      </c>
      <c r="D20" s="1">
        <v>120</v>
      </c>
      <c r="E20" s="1">
        <v>120</v>
      </c>
    </row>
    <row r="21" spans="1:5" x14ac:dyDescent="0.3">
      <c r="A21" s="1"/>
      <c r="B21" s="1"/>
      <c r="C21" s="1">
        <v>1334</v>
      </c>
      <c r="D21" s="1">
        <v>300</v>
      </c>
      <c r="E21" s="1">
        <v>300</v>
      </c>
    </row>
    <row r="22" spans="1:5" x14ac:dyDescent="0.3">
      <c r="A22" s="1"/>
      <c r="B22" s="1"/>
      <c r="C22" s="1">
        <v>1335</v>
      </c>
      <c r="D22" s="1">
        <v>48</v>
      </c>
      <c r="E22" s="1">
        <v>48</v>
      </c>
    </row>
    <row r="23" spans="1:5" x14ac:dyDescent="0.3">
      <c r="A23" s="1" t="s">
        <v>110</v>
      </c>
      <c r="B23" s="1" t="s">
        <v>172</v>
      </c>
      <c r="C23" s="1">
        <v>1325</v>
      </c>
      <c r="D23" s="1">
        <v>120</v>
      </c>
      <c r="E23" s="1">
        <v>120</v>
      </c>
    </row>
    <row r="24" spans="1:5" x14ac:dyDescent="0.3">
      <c r="A24" s="1"/>
      <c r="B24" s="1"/>
      <c r="C24" s="1">
        <v>1326</v>
      </c>
      <c r="D24" s="1">
        <v>150</v>
      </c>
      <c r="E24" s="1">
        <v>150</v>
      </c>
    </row>
    <row r="25" spans="1:5" x14ac:dyDescent="0.3">
      <c r="A25" s="1" t="s">
        <v>444</v>
      </c>
      <c r="B25" s="1" t="s">
        <v>214</v>
      </c>
      <c r="C25" s="1">
        <v>1560</v>
      </c>
      <c r="D25" s="1">
        <v>300</v>
      </c>
      <c r="E25" s="1">
        <v>300</v>
      </c>
    </row>
    <row r="26" spans="1:5" x14ac:dyDescent="0.3">
      <c r="A26" s="1" t="s">
        <v>430</v>
      </c>
      <c r="B26" s="1" t="s">
        <v>79</v>
      </c>
      <c r="C26" s="1">
        <v>1551</v>
      </c>
      <c r="D26" s="1">
        <v>240</v>
      </c>
      <c r="E26" s="1">
        <v>240</v>
      </c>
    </row>
    <row r="27" spans="1:5" x14ac:dyDescent="0.3">
      <c r="A27" s="1" t="s">
        <v>440</v>
      </c>
      <c r="B27" s="1" t="s">
        <v>441</v>
      </c>
      <c r="C27" s="1">
        <v>1558</v>
      </c>
      <c r="D27" s="1">
        <v>250</v>
      </c>
      <c r="E27" s="1">
        <v>250</v>
      </c>
    </row>
    <row r="28" spans="1:5" x14ac:dyDescent="0.3">
      <c r="A28" s="1"/>
      <c r="B28" s="1"/>
      <c r="C28" s="1">
        <v>1559</v>
      </c>
      <c r="D28" s="1">
        <v>180</v>
      </c>
      <c r="E28" s="1">
        <v>180</v>
      </c>
    </row>
    <row r="29" spans="1:5" x14ac:dyDescent="0.3">
      <c r="A29" s="1" t="s">
        <v>249</v>
      </c>
      <c r="B29" s="1" t="s">
        <v>250</v>
      </c>
      <c r="C29" s="1">
        <v>1311</v>
      </c>
      <c r="D29" s="1">
        <v>50</v>
      </c>
      <c r="E29" s="1">
        <v>50</v>
      </c>
    </row>
    <row r="30" spans="1:5" x14ac:dyDescent="0.3">
      <c r="A30" s="1" t="s">
        <v>171</v>
      </c>
      <c r="B30" s="1" t="s">
        <v>172</v>
      </c>
      <c r="C30" s="1">
        <v>1466</v>
      </c>
      <c r="D30" s="1">
        <v>400</v>
      </c>
      <c r="E30" s="1">
        <v>400</v>
      </c>
    </row>
    <row r="31" spans="1:5" x14ac:dyDescent="0.3">
      <c r="A31" s="1" t="s">
        <v>195</v>
      </c>
      <c r="B31" s="1" t="s">
        <v>196</v>
      </c>
      <c r="C31" s="1">
        <v>1480</v>
      </c>
      <c r="D31" s="1">
        <v>360</v>
      </c>
      <c r="E31" s="1">
        <v>360</v>
      </c>
    </row>
    <row r="32" spans="1:5" x14ac:dyDescent="0.3">
      <c r="A32" s="1"/>
      <c r="B32" s="1"/>
      <c r="C32" s="1">
        <v>1481</v>
      </c>
      <c r="D32" s="1">
        <v>96</v>
      </c>
      <c r="E32" s="1">
        <v>96</v>
      </c>
    </row>
    <row r="33" spans="1:5" x14ac:dyDescent="0.3">
      <c r="A33" s="1" t="s">
        <v>390</v>
      </c>
      <c r="B33" s="1" t="s">
        <v>132</v>
      </c>
      <c r="C33" s="1">
        <v>1385</v>
      </c>
      <c r="D33" s="1">
        <v>26</v>
      </c>
      <c r="E33" s="1">
        <v>26</v>
      </c>
    </row>
    <row r="34" spans="1:5" x14ac:dyDescent="0.3">
      <c r="A34" s="1" t="s">
        <v>402</v>
      </c>
      <c r="B34" s="1" t="s">
        <v>48</v>
      </c>
      <c r="C34" s="1">
        <v>1391</v>
      </c>
      <c r="D34" s="1">
        <v>53</v>
      </c>
      <c r="E34" s="1">
        <v>53</v>
      </c>
    </row>
    <row r="35" spans="1:5" x14ac:dyDescent="0.3">
      <c r="A35" s="1" t="s">
        <v>397</v>
      </c>
      <c r="B35" s="1" t="s">
        <v>132</v>
      </c>
      <c r="C35" s="1">
        <v>1388</v>
      </c>
      <c r="D35" s="1">
        <v>53</v>
      </c>
      <c r="E35" s="1">
        <v>53</v>
      </c>
    </row>
    <row r="36" spans="1:5" x14ac:dyDescent="0.3">
      <c r="A36" s="1" t="s">
        <v>165</v>
      </c>
      <c r="B36" s="1" t="s">
        <v>166</v>
      </c>
      <c r="C36" s="1">
        <v>1463</v>
      </c>
      <c r="D36" s="1">
        <v>420</v>
      </c>
      <c r="E36" s="1">
        <v>420</v>
      </c>
    </row>
    <row r="37" spans="1:5" x14ac:dyDescent="0.3">
      <c r="A37" s="1" t="s">
        <v>271</v>
      </c>
      <c r="B37" s="1" t="s">
        <v>159</v>
      </c>
      <c r="C37" s="1">
        <v>1327</v>
      </c>
      <c r="D37" s="1">
        <v>240</v>
      </c>
      <c r="E37" s="1">
        <v>240</v>
      </c>
    </row>
    <row r="38" spans="1:5" x14ac:dyDescent="0.3">
      <c r="A38" s="1" t="s">
        <v>317</v>
      </c>
      <c r="B38" s="1" t="s">
        <v>318</v>
      </c>
      <c r="C38" s="1">
        <v>1350</v>
      </c>
      <c r="D38" s="1">
        <v>120</v>
      </c>
      <c r="E38" s="1">
        <v>120</v>
      </c>
    </row>
    <row r="39" spans="1:5" x14ac:dyDescent="0.3">
      <c r="A39" s="1" t="s">
        <v>292</v>
      </c>
      <c r="B39" s="1" t="s">
        <v>293</v>
      </c>
      <c r="C39" s="1">
        <v>1336</v>
      </c>
      <c r="D39" s="1">
        <v>100</v>
      </c>
      <c r="E39" s="1">
        <v>100</v>
      </c>
    </row>
    <row r="40" spans="1:5" x14ac:dyDescent="0.3">
      <c r="A40" s="1"/>
      <c r="B40" s="1"/>
      <c r="C40" s="1">
        <v>1337</v>
      </c>
      <c r="D40" s="1">
        <v>48</v>
      </c>
      <c r="E40" s="1">
        <v>48</v>
      </c>
    </row>
    <row r="41" spans="1:5" x14ac:dyDescent="0.3">
      <c r="A41" s="1" t="s">
        <v>401</v>
      </c>
      <c r="B41" s="1" t="s">
        <v>48</v>
      </c>
      <c r="C41" s="1">
        <v>1390</v>
      </c>
      <c r="D41" s="1">
        <v>26</v>
      </c>
      <c r="E41" s="1">
        <v>26</v>
      </c>
    </row>
    <row r="42" spans="1:5" x14ac:dyDescent="0.3">
      <c r="A42" s="1" t="s">
        <v>295</v>
      </c>
      <c r="B42" s="1" t="s">
        <v>281</v>
      </c>
      <c r="C42" s="1">
        <v>1338</v>
      </c>
      <c r="D42" s="1">
        <v>350</v>
      </c>
      <c r="E42" s="1">
        <v>350</v>
      </c>
    </row>
    <row r="43" spans="1:5" x14ac:dyDescent="0.3">
      <c r="A43" s="1" t="s">
        <v>446</v>
      </c>
      <c r="B43" s="1" t="s">
        <v>21</v>
      </c>
      <c r="C43" s="1">
        <v>1561</v>
      </c>
      <c r="D43" s="1">
        <v>40</v>
      </c>
      <c r="E43" s="1">
        <v>40</v>
      </c>
    </row>
    <row r="44" spans="1:5" x14ac:dyDescent="0.3">
      <c r="A44" s="1" t="s">
        <v>340</v>
      </c>
      <c r="B44" s="1" t="s">
        <v>341</v>
      </c>
      <c r="C44" s="1">
        <v>1361</v>
      </c>
      <c r="D44" s="1">
        <v>2160</v>
      </c>
      <c r="E44" s="1">
        <v>2160</v>
      </c>
    </row>
    <row r="45" spans="1:5" x14ac:dyDescent="0.3">
      <c r="A45" s="1" t="s">
        <v>454</v>
      </c>
      <c r="B45" s="1" t="s">
        <v>452</v>
      </c>
      <c r="C45" s="1">
        <v>1564</v>
      </c>
      <c r="D45" s="1">
        <v>26</v>
      </c>
      <c r="E45" s="1">
        <v>26</v>
      </c>
    </row>
    <row r="46" spans="1:5" x14ac:dyDescent="0.3">
      <c r="A46" s="1" t="s">
        <v>192</v>
      </c>
      <c r="B46" s="1" t="s">
        <v>139</v>
      </c>
      <c r="C46" s="1">
        <v>1478</v>
      </c>
      <c r="D46" s="1">
        <v>150</v>
      </c>
      <c r="E46" s="1">
        <v>150</v>
      </c>
    </row>
    <row r="47" spans="1:5" x14ac:dyDescent="0.3">
      <c r="A47" s="1"/>
      <c r="B47" s="1"/>
      <c r="C47" s="1">
        <v>1479</v>
      </c>
      <c r="D47" s="1">
        <v>60</v>
      </c>
      <c r="E47" s="1">
        <v>60</v>
      </c>
    </row>
    <row r="48" spans="1:5" x14ac:dyDescent="0.3">
      <c r="A48" s="1" t="s">
        <v>421</v>
      </c>
      <c r="B48" s="1" t="s">
        <v>422</v>
      </c>
      <c r="C48" s="1">
        <v>1396</v>
      </c>
      <c r="D48" s="1">
        <v>240</v>
      </c>
      <c r="E48" s="1">
        <v>240</v>
      </c>
    </row>
    <row r="49" spans="1:5" x14ac:dyDescent="0.3">
      <c r="A49" s="1" t="s">
        <v>386</v>
      </c>
      <c r="B49" s="1" t="s">
        <v>461</v>
      </c>
      <c r="C49" s="1">
        <v>1576</v>
      </c>
      <c r="D49" s="1">
        <v>500</v>
      </c>
      <c r="E49" s="1">
        <v>500</v>
      </c>
    </row>
    <row r="50" spans="1:5" x14ac:dyDescent="0.3">
      <c r="A50" s="1" t="s">
        <v>69</v>
      </c>
      <c r="B50" s="1" t="s">
        <v>21</v>
      </c>
      <c r="C50" s="1">
        <v>1420</v>
      </c>
      <c r="D50" s="1">
        <v>50</v>
      </c>
      <c r="E50" s="1">
        <v>50</v>
      </c>
    </row>
    <row r="51" spans="1:5" x14ac:dyDescent="0.3">
      <c r="A51" s="1" t="s">
        <v>426</v>
      </c>
      <c r="B51" s="1" t="s">
        <v>427</v>
      </c>
      <c r="C51" s="1">
        <v>1399</v>
      </c>
      <c r="D51" s="1">
        <v>250</v>
      </c>
      <c r="E51" s="1">
        <v>250</v>
      </c>
    </row>
    <row r="52" spans="1:5" x14ac:dyDescent="0.3">
      <c r="A52" s="1"/>
      <c r="B52" s="1"/>
      <c r="C52" s="1">
        <v>1400</v>
      </c>
      <c r="D52" s="1">
        <v>180</v>
      </c>
      <c r="E52" s="1">
        <v>180</v>
      </c>
    </row>
    <row r="53" spans="1:5" x14ac:dyDescent="0.3">
      <c r="A53" s="1" t="s">
        <v>314</v>
      </c>
      <c r="B53" s="1" t="s">
        <v>315</v>
      </c>
      <c r="C53" s="1">
        <v>1349</v>
      </c>
      <c r="D53" s="1">
        <v>100</v>
      </c>
      <c r="E53" s="1">
        <v>100</v>
      </c>
    </row>
    <row r="54" spans="1:5" x14ac:dyDescent="0.3">
      <c r="A54" s="1" t="s">
        <v>176</v>
      </c>
      <c r="B54" s="1" t="s">
        <v>45</v>
      </c>
      <c r="C54" s="1">
        <v>1416</v>
      </c>
      <c r="D54" s="1">
        <v>500</v>
      </c>
      <c r="E54" s="1">
        <v>500</v>
      </c>
    </row>
    <row r="55" spans="1:5" x14ac:dyDescent="0.3">
      <c r="A55" s="1"/>
      <c r="B55" s="1" t="s">
        <v>465</v>
      </c>
      <c r="C55" s="1">
        <v>1578</v>
      </c>
      <c r="D55" s="1">
        <v>1000</v>
      </c>
      <c r="E55" s="1">
        <v>1000</v>
      </c>
    </row>
    <row r="56" spans="1:5" x14ac:dyDescent="0.3">
      <c r="A56" s="1" t="s">
        <v>332</v>
      </c>
      <c r="B56" s="1" t="s">
        <v>333</v>
      </c>
      <c r="C56" s="1">
        <v>1358</v>
      </c>
      <c r="D56" s="1">
        <v>1500</v>
      </c>
      <c r="E56" s="1">
        <v>1500</v>
      </c>
    </row>
    <row r="57" spans="1:5" x14ac:dyDescent="0.3">
      <c r="A57" s="1" t="s">
        <v>324</v>
      </c>
      <c r="B57" s="1" t="s">
        <v>325</v>
      </c>
      <c r="C57" s="1">
        <v>1355</v>
      </c>
      <c r="D57" s="1">
        <v>100</v>
      </c>
      <c r="E57" s="1">
        <v>100</v>
      </c>
    </row>
    <row r="58" spans="1:5" x14ac:dyDescent="0.3">
      <c r="A58" s="1" t="s">
        <v>47</v>
      </c>
      <c r="B58" s="1" t="s">
        <v>48</v>
      </c>
      <c r="C58" s="1">
        <v>1313</v>
      </c>
      <c r="D58" s="1">
        <v>250</v>
      </c>
      <c r="E58" s="1">
        <v>250</v>
      </c>
    </row>
    <row r="59" spans="1:5" x14ac:dyDescent="0.3">
      <c r="A59" s="1"/>
      <c r="B59" s="1"/>
      <c r="C59" s="1">
        <v>1398</v>
      </c>
      <c r="D59" s="1">
        <v>400</v>
      </c>
      <c r="E59" s="1">
        <v>400</v>
      </c>
    </row>
    <row r="60" spans="1:5" x14ac:dyDescent="0.3">
      <c r="A60" s="1" t="s">
        <v>207</v>
      </c>
      <c r="B60" s="1" t="s">
        <v>208</v>
      </c>
      <c r="C60" s="1">
        <v>1487</v>
      </c>
      <c r="D60" s="1">
        <v>480</v>
      </c>
      <c r="E60" s="1">
        <v>480</v>
      </c>
    </row>
    <row r="61" spans="1:5" x14ac:dyDescent="0.3">
      <c r="A61" s="1" t="s">
        <v>41</v>
      </c>
      <c r="B61" s="1" t="s">
        <v>45</v>
      </c>
      <c r="C61" s="1">
        <v>1415</v>
      </c>
      <c r="D61" s="1">
        <v>300</v>
      </c>
      <c r="E61" s="1">
        <v>300</v>
      </c>
    </row>
    <row r="62" spans="1:5" x14ac:dyDescent="0.3">
      <c r="A62" s="1" t="s">
        <v>448</v>
      </c>
      <c r="B62" s="1" t="s">
        <v>449</v>
      </c>
      <c r="C62" s="1">
        <v>1562</v>
      </c>
      <c r="D62" s="1">
        <v>26</v>
      </c>
      <c r="E62" s="1">
        <v>26</v>
      </c>
    </row>
    <row r="63" spans="1:5" x14ac:dyDescent="0.3">
      <c r="A63" s="1" t="s">
        <v>301</v>
      </c>
      <c r="B63" s="1" t="s">
        <v>79</v>
      </c>
      <c r="C63" s="1">
        <v>1342</v>
      </c>
      <c r="D63" s="1">
        <v>200</v>
      </c>
      <c r="E63" s="1">
        <v>200</v>
      </c>
    </row>
    <row r="64" spans="1:5" x14ac:dyDescent="0.3">
      <c r="A64" s="1" t="s">
        <v>127</v>
      </c>
      <c r="B64" s="1" t="s">
        <v>128</v>
      </c>
      <c r="C64" s="1">
        <v>1451</v>
      </c>
      <c r="D64" s="1">
        <v>240</v>
      </c>
      <c r="E64" s="1">
        <v>240</v>
      </c>
    </row>
    <row r="65" spans="1:5" x14ac:dyDescent="0.3">
      <c r="A65" s="1"/>
      <c r="B65" s="1"/>
      <c r="C65" s="1">
        <v>1452</v>
      </c>
      <c r="D65" s="1">
        <v>50</v>
      </c>
      <c r="E65" s="1">
        <v>50</v>
      </c>
    </row>
    <row r="66" spans="1:5" x14ac:dyDescent="0.3">
      <c r="A66" s="1" t="s">
        <v>458</v>
      </c>
      <c r="B66" s="1" t="s">
        <v>459</v>
      </c>
      <c r="C66" s="1">
        <v>1566</v>
      </c>
      <c r="D66" s="1">
        <v>46</v>
      </c>
      <c r="E66" s="1">
        <v>46</v>
      </c>
    </row>
    <row r="67" spans="1:5" x14ac:dyDescent="0.3">
      <c r="A67" s="1" t="s">
        <v>407</v>
      </c>
      <c r="B67" s="1" t="s">
        <v>93</v>
      </c>
      <c r="C67" s="1">
        <v>1393</v>
      </c>
      <c r="D67" s="1">
        <v>25</v>
      </c>
      <c r="E67" s="1">
        <v>25</v>
      </c>
    </row>
    <row r="68" spans="1:5" x14ac:dyDescent="0.3">
      <c r="A68" s="1" t="s">
        <v>284</v>
      </c>
      <c r="B68" s="1" t="s">
        <v>79</v>
      </c>
      <c r="C68" s="1">
        <v>1332</v>
      </c>
      <c r="D68" s="1">
        <v>100</v>
      </c>
      <c r="E68" s="1">
        <v>100</v>
      </c>
    </row>
    <row r="69" spans="1:5" x14ac:dyDescent="0.3">
      <c r="A69" s="1" t="s">
        <v>274</v>
      </c>
      <c r="B69" s="1" t="s">
        <v>275</v>
      </c>
      <c r="C69" s="1">
        <v>1323</v>
      </c>
      <c r="D69" s="1">
        <v>300</v>
      </c>
      <c r="E69" s="1">
        <v>300</v>
      </c>
    </row>
    <row r="70" spans="1:5" x14ac:dyDescent="0.3">
      <c r="A70" s="1"/>
      <c r="B70" s="1"/>
      <c r="C70" s="1">
        <v>1324</v>
      </c>
      <c r="D70" s="1">
        <v>120</v>
      </c>
      <c r="E70" s="1">
        <v>120</v>
      </c>
    </row>
    <row r="71" spans="1:5" x14ac:dyDescent="0.3">
      <c r="A71" s="1" t="s">
        <v>44</v>
      </c>
      <c r="B71" s="1" t="s">
        <v>45</v>
      </c>
      <c r="C71" s="1">
        <v>1410</v>
      </c>
      <c r="D71" s="1">
        <v>120</v>
      </c>
      <c r="E71" s="1">
        <v>120</v>
      </c>
    </row>
    <row r="72" spans="1:5" x14ac:dyDescent="0.3">
      <c r="A72" s="1"/>
      <c r="B72" s="1"/>
      <c r="C72" s="1">
        <v>1476</v>
      </c>
      <c r="D72" s="1">
        <v>300</v>
      </c>
      <c r="E72" s="1">
        <v>300</v>
      </c>
    </row>
    <row r="73" spans="1:5" x14ac:dyDescent="0.3">
      <c r="A73" s="1" t="s">
        <v>410</v>
      </c>
      <c r="B73" s="1" t="s">
        <v>411</v>
      </c>
      <c r="C73" s="1">
        <v>1395</v>
      </c>
      <c r="D73" s="1">
        <v>53</v>
      </c>
      <c r="E73" s="1">
        <v>53</v>
      </c>
    </row>
    <row r="74" spans="1:5" x14ac:dyDescent="0.3">
      <c r="A74" s="1" t="s">
        <v>297</v>
      </c>
      <c r="B74" s="1" t="s">
        <v>79</v>
      </c>
      <c r="C74" s="1">
        <v>1339</v>
      </c>
      <c r="D74" s="1">
        <v>48</v>
      </c>
      <c r="E74" s="1">
        <v>48</v>
      </c>
    </row>
    <row r="75" spans="1:5" x14ac:dyDescent="0.3">
      <c r="A75" s="1"/>
      <c r="B75" s="1"/>
      <c r="C75" s="1">
        <v>1340</v>
      </c>
      <c r="D75" s="1">
        <v>60</v>
      </c>
      <c r="E75" s="1">
        <v>60</v>
      </c>
    </row>
    <row r="76" spans="1:5" x14ac:dyDescent="0.3">
      <c r="A76" s="1"/>
      <c r="B76" s="1"/>
      <c r="C76" s="1">
        <v>1341</v>
      </c>
      <c r="D76" s="1">
        <v>50</v>
      </c>
      <c r="E76" s="1">
        <v>50</v>
      </c>
    </row>
    <row r="77" spans="1:5" x14ac:dyDescent="0.3">
      <c r="A77" s="1" t="s">
        <v>337</v>
      </c>
      <c r="B77" s="1" t="s">
        <v>293</v>
      </c>
      <c r="C77" s="1">
        <v>1359</v>
      </c>
      <c r="D77" s="1">
        <v>1060</v>
      </c>
      <c r="E77" s="1">
        <v>1060</v>
      </c>
    </row>
    <row r="78" spans="1:5" x14ac:dyDescent="0.3">
      <c r="A78" s="1" t="s">
        <v>311</v>
      </c>
      <c r="B78" s="1" t="s">
        <v>152</v>
      </c>
      <c r="C78" s="1">
        <v>1347</v>
      </c>
      <c r="D78" s="1">
        <v>336</v>
      </c>
      <c r="E78" s="1">
        <v>336</v>
      </c>
    </row>
    <row r="79" spans="1:5" x14ac:dyDescent="0.3">
      <c r="A79" s="1"/>
      <c r="B79" s="1"/>
      <c r="C79" s="1">
        <v>1348</v>
      </c>
      <c r="D79" s="1">
        <v>660</v>
      </c>
      <c r="E79" s="1">
        <v>660</v>
      </c>
    </row>
    <row r="80" spans="1:5" x14ac:dyDescent="0.3">
      <c r="A80" s="1"/>
      <c r="B80" s="1"/>
      <c r="C80" s="1">
        <v>1554</v>
      </c>
      <c r="D80" s="1">
        <v>400</v>
      </c>
      <c r="E80" s="1">
        <v>400</v>
      </c>
    </row>
    <row r="81" spans="1:5" x14ac:dyDescent="0.3">
      <c r="A81" s="1"/>
      <c r="B81" s="1"/>
      <c r="C81" s="1">
        <v>1555</v>
      </c>
      <c r="D81" s="1">
        <v>180</v>
      </c>
      <c r="E81" s="1">
        <v>180</v>
      </c>
    </row>
    <row r="82" spans="1:5" x14ac:dyDescent="0.3">
      <c r="A82" s="1"/>
      <c r="B82" s="1"/>
      <c r="C82" s="1">
        <v>1556</v>
      </c>
      <c r="D82" s="1">
        <v>96</v>
      </c>
      <c r="E82" s="1">
        <v>96</v>
      </c>
    </row>
    <row r="83" spans="1:5" x14ac:dyDescent="0.3">
      <c r="A83" s="1" t="s">
        <v>267</v>
      </c>
      <c r="B83" s="1" t="s">
        <v>152</v>
      </c>
      <c r="C83" s="1">
        <v>1321</v>
      </c>
      <c r="D83" s="1">
        <v>240</v>
      </c>
      <c r="E83" s="1">
        <v>240</v>
      </c>
    </row>
    <row r="84" spans="1:5" x14ac:dyDescent="0.3">
      <c r="A84" s="1"/>
      <c r="B84" s="1"/>
      <c r="C84" s="1">
        <v>1322</v>
      </c>
      <c r="D84" s="1">
        <v>480</v>
      </c>
      <c r="E84" s="1">
        <v>480</v>
      </c>
    </row>
    <row r="85" spans="1:5" x14ac:dyDescent="0.3">
      <c r="A85" s="1"/>
      <c r="B85" s="1"/>
      <c r="C85" s="1">
        <v>1354</v>
      </c>
      <c r="D85" s="1">
        <v>500</v>
      </c>
      <c r="E85" s="1">
        <v>500</v>
      </c>
    </row>
    <row r="86" spans="1:5" x14ac:dyDescent="0.3">
      <c r="A86" s="1" t="s">
        <v>151</v>
      </c>
      <c r="B86" s="1" t="s">
        <v>152</v>
      </c>
      <c r="C86" s="1">
        <v>1467</v>
      </c>
      <c r="D86" s="1">
        <v>336</v>
      </c>
      <c r="E86" s="1">
        <v>336</v>
      </c>
    </row>
    <row r="87" spans="1:5" x14ac:dyDescent="0.3">
      <c r="A87" s="1"/>
      <c r="B87" s="1"/>
      <c r="C87" s="1">
        <v>1468</v>
      </c>
      <c r="D87" s="1">
        <v>660</v>
      </c>
      <c r="E87" s="1">
        <v>660</v>
      </c>
    </row>
    <row r="88" spans="1:5" x14ac:dyDescent="0.3">
      <c r="A88" s="1" t="s">
        <v>329</v>
      </c>
      <c r="B88" s="1" t="s">
        <v>48</v>
      </c>
      <c r="C88" s="1">
        <v>1357</v>
      </c>
      <c r="D88" s="1">
        <v>112</v>
      </c>
      <c r="E88" s="1">
        <v>112</v>
      </c>
    </row>
    <row r="89" spans="1:5" x14ac:dyDescent="0.3">
      <c r="A89" s="1" t="s">
        <v>189</v>
      </c>
      <c r="B89" s="1" t="s">
        <v>190</v>
      </c>
      <c r="C89" s="1">
        <v>1477</v>
      </c>
      <c r="D89" s="1">
        <v>300</v>
      </c>
      <c r="E89" s="1">
        <v>300</v>
      </c>
    </row>
    <row r="90" spans="1:5" x14ac:dyDescent="0.3">
      <c r="A90" s="1" t="s">
        <v>419</v>
      </c>
      <c r="B90" s="1" t="s">
        <v>132</v>
      </c>
      <c r="C90" s="1">
        <v>1387</v>
      </c>
      <c r="D90" s="1">
        <v>2</v>
      </c>
      <c r="E90" s="1">
        <v>2</v>
      </c>
    </row>
    <row r="91" spans="1:5" x14ac:dyDescent="0.3">
      <c r="A91" s="1" t="s">
        <v>399</v>
      </c>
      <c r="B91" s="1" t="s">
        <v>132</v>
      </c>
      <c r="C91" s="1">
        <v>1389</v>
      </c>
      <c r="D91" s="1">
        <v>26</v>
      </c>
      <c r="E91" s="1">
        <v>26</v>
      </c>
    </row>
    <row r="92" spans="1:5" x14ac:dyDescent="0.3">
      <c r="A92" s="1" t="s">
        <v>394</v>
      </c>
      <c r="B92" s="1" t="s">
        <v>132</v>
      </c>
      <c r="C92" s="1">
        <v>1386</v>
      </c>
      <c r="D92" s="1">
        <v>26</v>
      </c>
      <c r="E92" s="1">
        <v>26</v>
      </c>
    </row>
    <row r="93" spans="1:5" x14ac:dyDescent="0.3">
      <c r="A93" s="1" t="s">
        <v>138</v>
      </c>
      <c r="B93" s="1" t="s">
        <v>139</v>
      </c>
      <c r="C93" s="1">
        <v>1456</v>
      </c>
      <c r="D93" s="1">
        <v>60</v>
      </c>
      <c r="E93" s="1">
        <v>60</v>
      </c>
    </row>
    <row r="94" spans="1:5" x14ac:dyDescent="0.3">
      <c r="A94" s="1" t="s">
        <v>256</v>
      </c>
      <c r="B94" s="1" t="s">
        <v>214</v>
      </c>
      <c r="C94" s="1">
        <v>1314</v>
      </c>
      <c r="D94" s="1">
        <v>240</v>
      </c>
      <c r="E94" s="1">
        <v>240</v>
      </c>
    </row>
    <row r="95" spans="1:5" x14ac:dyDescent="0.3">
      <c r="A95" s="1" t="s">
        <v>306</v>
      </c>
      <c r="B95" s="1" t="s">
        <v>263</v>
      </c>
      <c r="C95" s="1">
        <v>1344</v>
      </c>
      <c r="D95" s="1">
        <v>48</v>
      </c>
      <c r="E95" s="1">
        <v>48</v>
      </c>
    </row>
    <row r="96" spans="1:5" x14ac:dyDescent="0.3">
      <c r="A96" s="1"/>
      <c r="B96" s="1"/>
      <c r="C96" s="1">
        <v>1345</v>
      </c>
      <c r="D96" s="1">
        <v>300</v>
      </c>
      <c r="E96" s="1">
        <v>300</v>
      </c>
    </row>
    <row r="97" spans="1:5" x14ac:dyDescent="0.3">
      <c r="A97" s="1"/>
      <c r="B97" s="1"/>
      <c r="C97" s="1">
        <v>1346</v>
      </c>
      <c r="D97" s="1">
        <v>200</v>
      </c>
      <c r="E97" s="1">
        <v>200</v>
      </c>
    </row>
    <row r="98" spans="1:5" x14ac:dyDescent="0.3">
      <c r="A98" s="1" t="s">
        <v>105</v>
      </c>
      <c r="B98" s="1" t="s">
        <v>106</v>
      </c>
      <c r="C98" s="1">
        <v>1441</v>
      </c>
      <c r="D98" s="1">
        <v>350</v>
      </c>
      <c r="E98" s="1">
        <v>350</v>
      </c>
    </row>
    <row r="99" spans="1:5" x14ac:dyDescent="0.3">
      <c r="A99" s="1"/>
      <c r="B99" s="1"/>
      <c r="C99" s="1">
        <v>1442</v>
      </c>
      <c r="D99" s="1">
        <v>60</v>
      </c>
      <c r="E99" s="1">
        <v>60</v>
      </c>
    </row>
    <row r="100" spans="1:5" x14ac:dyDescent="0.3">
      <c r="A100" s="1"/>
      <c r="B100" s="1"/>
      <c r="C100" s="1">
        <v>1443</v>
      </c>
      <c r="D100" s="1">
        <v>48</v>
      </c>
      <c r="E100" s="1">
        <v>48</v>
      </c>
    </row>
    <row r="101" spans="1:5" x14ac:dyDescent="0.3">
      <c r="A101" s="1" t="s">
        <v>404</v>
      </c>
      <c r="B101" s="1" t="s">
        <v>405</v>
      </c>
      <c r="C101" s="1">
        <v>1392</v>
      </c>
      <c r="D101" s="1">
        <v>26</v>
      </c>
      <c r="E101" s="1">
        <v>26</v>
      </c>
    </row>
    <row r="102" spans="1:5" x14ac:dyDescent="0.3">
      <c r="A102" s="1" t="s">
        <v>134</v>
      </c>
      <c r="B102" s="1" t="s">
        <v>135</v>
      </c>
      <c r="C102" s="1">
        <v>1454</v>
      </c>
      <c r="D102" s="1">
        <v>100</v>
      </c>
      <c r="E102" s="1">
        <v>100</v>
      </c>
    </row>
    <row r="103" spans="1:5" x14ac:dyDescent="0.3">
      <c r="A103" s="1"/>
      <c r="B103" s="1"/>
      <c r="C103" s="1">
        <v>1455</v>
      </c>
      <c r="D103" s="1">
        <v>60</v>
      </c>
      <c r="E103" s="1">
        <v>60</v>
      </c>
    </row>
    <row r="104" spans="1:5" x14ac:dyDescent="0.3">
      <c r="A104" s="1" t="s">
        <v>244</v>
      </c>
      <c r="B104" s="1" t="s">
        <v>245</v>
      </c>
      <c r="C104" s="1">
        <v>1308</v>
      </c>
      <c r="D104" s="1">
        <v>200</v>
      </c>
      <c r="E104" s="1">
        <v>200</v>
      </c>
    </row>
    <row r="105" spans="1:5" x14ac:dyDescent="0.3">
      <c r="A105" s="1"/>
      <c r="B105" s="1"/>
      <c r="C105" s="1">
        <v>1309</v>
      </c>
      <c r="D105" s="1">
        <v>60</v>
      </c>
      <c r="E105" s="1">
        <v>60</v>
      </c>
    </row>
    <row r="106" spans="1:5" x14ac:dyDescent="0.3">
      <c r="A106" s="1" t="s">
        <v>174</v>
      </c>
      <c r="B106" s="1" t="s">
        <v>175</v>
      </c>
      <c r="C106" s="1">
        <v>1412</v>
      </c>
      <c r="D106" s="1">
        <v>140</v>
      </c>
      <c r="E106" s="1">
        <v>140</v>
      </c>
    </row>
    <row r="107" spans="1:5" x14ac:dyDescent="0.3">
      <c r="A107" s="1" t="s">
        <v>177</v>
      </c>
      <c r="B107" s="1" t="s">
        <v>111</v>
      </c>
      <c r="C107" s="1">
        <v>1397</v>
      </c>
      <c r="D107" s="1">
        <v>180</v>
      </c>
      <c r="E107" s="1">
        <v>180</v>
      </c>
    </row>
    <row r="108" spans="1:5" x14ac:dyDescent="0.3">
      <c r="A108" s="1"/>
      <c r="B108" s="1" t="s">
        <v>178</v>
      </c>
      <c r="C108" s="1">
        <v>1433</v>
      </c>
      <c r="D108" s="1">
        <v>120</v>
      </c>
      <c r="E108" s="1">
        <v>120</v>
      </c>
    </row>
    <row r="109" spans="1:5" x14ac:dyDescent="0.3">
      <c r="A109" s="1" t="s">
        <v>303</v>
      </c>
      <c r="B109" s="1" t="s">
        <v>304</v>
      </c>
      <c r="C109" s="1">
        <v>1343</v>
      </c>
      <c r="D109" s="1">
        <v>150</v>
      </c>
      <c r="E109" s="1">
        <v>150</v>
      </c>
    </row>
    <row r="110" spans="1:5" x14ac:dyDescent="0.3">
      <c r="A110" s="1" t="s">
        <v>72</v>
      </c>
      <c r="B110" s="1" t="s">
        <v>438</v>
      </c>
      <c r="C110" s="1">
        <v>1557</v>
      </c>
      <c r="D110" s="1">
        <v>1000</v>
      </c>
      <c r="E110" s="1">
        <v>1000</v>
      </c>
    </row>
    <row r="111" spans="1:5" x14ac:dyDescent="0.3">
      <c r="A111" s="1" t="s">
        <v>116</v>
      </c>
      <c r="B111" s="1" t="s">
        <v>117</v>
      </c>
      <c r="C111" s="1">
        <v>1310</v>
      </c>
      <c r="D111" s="1">
        <v>300</v>
      </c>
      <c r="E111" s="1">
        <v>300</v>
      </c>
    </row>
    <row r="112" spans="1:5" x14ac:dyDescent="0.3">
      <c r="A112" s="1"/>
      <c r="B112" s="1"/>
      <c r="C112" s="1">
        <v>1446</v>
      </c>
      <c r="D112" s="1">
        <v>120</v>
      </c>
      <c r="E112" s="1">
        <v>120</v>
      </c>
    </row>
    <row r="113" spans="1:5" x14ac:dyDescent="0.3">
      <c r="A113" s="1"/>
      <c r="B113" s="1"/>
      <c r="C113" s="1">
        <v>1447</v>
      </c>
      <c r="D113" s="1">
        <v>200</v>
      </c>
      <c r="E113" s="1">
        <v>200</v>
      </c>
    </row>
    <row r="114" spans="1:5" x14ac:dyDescent="0.3">
      <c r="A114" s="1" t="s">
        <v>89</v>
      </c>
      <c r="B114" s="1" t="s">
        <v>45</v>
      </c>
      <c r="C114" s="1">
        <v>1430</v>
      </c>
      <c r="D114" s="1">
        <v>240</v>
      </c>
      <c r="E114" s="1">
        <v>240</v>
      </c>
    </row>
    <row r="115" spans="1:5" x14ac:dyDescent="0.3">
      <c r="A115" s="1"/>
      <c r="B115" s="1"/>
      <c r="C115" s="1">
        <v>1431</v>
      </c>
      <c r="D115" s="1">
        <v>48</v>
      </c>
      <c r="E115" s="1">
        <v>48</v>
      </c>
    </row>
    <row r="116" spans="1:5" x14ac:dyDescent="0.3">
      <c r="A116" s="1" t="s">
        <v>252</v>
      </c>
      <c r="B116" s="1" t="s">
        <v>253</v>
      </c>
      <c r="C116" s="1">
        <v>1312</v>
      </c>
      <c r="D116" s="1">
        <v>720</v>
      </c>
      <c r="E116" s="1">
        <v>720</v>
      </c>
    </row>
    <row r="117" spans="1:5" x14ac:dyDescent="0.3">
      <c r="A117" s="1" t="s">
        <v>432</v>
      </c>
      <c r="B117" s="1" t="s">
        <v>93</v>
      </c>
      <c r="C117" s="1">
        <v>1552</v>
      </c>
      <c r="D117" s="1">
        <v>250</v>
      </c>
      <c r="E117" s="1">
        <v>250</v>
      </c>
    </row>
    <row r="118" spans="1:5" x14ac:dyDescent="0.3">
      <c r="A118" s="1"/>
      <c r="B118" s="1"/>
      <c r="C118" s="1">
        <v>1553</v>
      </c>
      <c r="D118" s="1">
        <v>120</v>
      </c>
      <c r="E118" s="1">
        <v>120</v>
      </c>
    </row>
    <row r="119" spans="1:5" x14ac:dyDescent="0.3">
      <c r="A119" s="1" t="s">
        <v>220</v>
      </c>
      <c r="B119" s="1"/>
      <c r="C119" s="1"/>
      <c r="D119" s="1">
        <v>27106</v>
      </c>
      <c r="E119" s="1">
        <v>27106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9"/>
  <sheetViews>
    <sheetView tabSelected="1" zoomScale="119" zoomScaleNormal="115" workbookViewId="0">
      <pane ySplit="2" topLeftCell="A303" activePane="bottomLeft" state="frozen"/>
      <selection pane="bottomLeft" activeCell="G341" sqref="G341"/>
    </sheetView>
  </sheetViews>
  <sheetFormatPr defaultColWidth="8.77734375" defaultRowHeight="14.4" x14ac:dyDescent="0.3"/>
  <cols>
    <col min="1" max="1" width="13.109375" style="6" bestFit="1" customWidth="1"/>
    <col min="2" max="2" width="21.88671875" style="6" bestFit="1" customWidth="1"/>
    <col min="3" max="3" width="33.44140625" style="6" bestFit="1" customWidth="1"/>
    <col min="4" max="4" width="23.88671875" style="6" bestFit="1" customWidth="1"/>
    <col min="5" max="5" width="21.88671875" style="6" bestFit="1" customWidth="1"/>
    <col min="6" max="6" width="13" style="6" customWidth="1"/>
    <col min="7" max="7" width="13.6640625" style="6" bestFit="1" customWidth="1"/>
    <col min="8" max="8" width="15.21875" style="6" bestFit="1" customWidth="1"/>
    <col min="9" max="9" width="37.44140625" style="6" bestFit="1" customWidth="1"/>
    <col min="10" max="10" width="23.77734375" style="6" bestFit="1" customWidth="1"/>
    <col min="11" max="11" width="12.6640625" style="6" bestFit="1" customWidth="1"/>
    <col min="12" max="12" width="28.5546875" style="6" bestFit="1" customWidth="1"/>
    <col min="13" max="13" width="22.88671875" style="6" bestFit="1" customWidth="1"/>
    <col min="14" max="14" width="29.109375" style="6" bestFit="1" customWidth="1"/>
    <col min="15" max="15" width="27" style="6" bestFit="1" customWidth="1"/>
    <col min="16" max="16" width="21.88671875" style="6" bestFit="1" customWidth="1"/>
    <col min="17" max="17" width="15.6640625" style="6" bestFit="1" customWidth="1"/>
    <col min="18" max="18" width="14.44140625" style="6" bestFit="1" customWidth="1"/>
    <col min="19" max="19" width="23.21875" style="6" bestFit="1" customWidth="1"/>
    <col min="20" max="20" width="25.77734375" style="6" bestFit="1" customWidth="1"/>
    <col min="21" max="21" width="21.88671875" style="6" bestFit="1" customWidth="1"/>
    <col min="22" max="22" width="18.109375" style="6" bestFit="1" customWidth="1"/>
    <col min="23" max="23" width="9.6640625" style="6" bestFit="1" customWidth="1"/>
    <col min="24" max="24" width="14.88671875" style="6" bestFit="1" customWidth="1"/>
    <col min="25" max="25" width="17.21875" style="6" bestFit="1" customWidth="1"/>
    <col min="26" max="26" width="18.77734375" style="6" bestFit="1" customWidth="1"/>
    <col min="27" max="27" width="17.21875" style="6" customWidth="1"/>
    <col min="28" max="28" width="18.44140625" style="6" bestFit="1" customWidth="1"/>
    <col min="29" max="29" width="16.6640625" style="6" bestFit="1" customWidth="1"/>
    <col min="30" max="30" width="28.44140625" style="6" customWidth="1"/>
    <col min="31" max="16384" width="8.77734375" style="6"/>
  </cols>
  <sheetData>
    <row r="1" spans="1:30" x14ac:dyDescent="0.3">
      <c r="J1" s="6" t="s">
        <v>651</v>
      </c>
      <c r="K1" s="6">
        <f>SUBTOTAL(9,Table1[Bucket])</f>
        <v>8067</v>
      </c>
      <c r="L1" s="6">
        <f>SUBTOTAL(9,Table1[TOTAL QUANTITY IN LTRS])</f>
        <v>142980</v>
      </c>
    </row>
    <row r="2" spans="1:30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608</v>
      </c>
      <c r="I2" s="11" t="s">
        <v>7</v>
      </c>
      <c r="J2" s="11" t="s">
        <v>8</v>
      </c>
      <c r="K2" s="12" t="s">
        <v>38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1" t="s">
        <v>18</v>
      </c>
      <c r="V2" s="11" t="s">
        <v>19</v>
      </c>
      <c r="W2" s="11" t="s">
        <v>20</v>
      </c>
      <c r="X2" s="11" t="s">
        <v>95</v>
      </c>
      <c r="Y2" s="11" t="s">
        <v>413</v>
      </c>
      <c r="Z2" s="11" t="s">
        <v>466</v>
      </c>
      <c r="AA2" s="11" t="s">
        <v>467</v>
      </c>
      <c r="AB2" s="11" t="s">
        <v>468</v>
      </c>
      <c r="AC2" s="11" t="s">
        <v>645</v>
      </c>
      <c r="AD2" s="11" t="s">
        <v>649</v>
      </c>
    </row>
    <row r="3" spans="1:30" x14ac:dyDescent="0.3">
      <c r="A3" s="8">
        <v>1</v>
      </c>
      <c r="B3" s="3" t="s">
        <v>21</v>
      </c>
      <c r="C3" s="3" t="s">
        <v>233</v>
      </c>
      <c r="D3" s="3" t="s">
        <v>147</v>
      </c>
      <c r="E3" s="3" t="s">
        <v>235</v>
      </c>
      <c r="F3" s="3">
        <v>1301</v>
      </c>
      <c r="G3" s="4">
        <v>46241</v>
      </c>
      <c r="H3" s="4"/>
      <c r="I3" s="3" t="s">
        <v>31</v>
      </c>
      <c r="J3" s="3" t="s">
        <v>28</v>
      </c>
      <c r="K3" s="3">
        <v>6</v>
      </c>
      <c r="L3" s="3">
        <v>120</v>
      </c>
      <c r="M3" s="3" t="s">
        <v>32</v>
      </c>
      <c r="N3" s="4">
        <v>46246</v>
      </c>
      <c r="O3" s="4">
        <v>46247</v>
      </c>
      <c r="P3" s="3" t="s">
        <v>219</v>
      </c>
      <c r="Q3" s="3" t="s">
        <v>29</v>
      </c>
      <c r="R3" s="3" t="s">
        <v>26</v>
      </c>
      <c r="S3" s="3"/>
      <c r="T3" s="3"/>
      <c r="U3" s="5" t="s">
        <v>223</v>
      </c>
      <c r="V3" s="3">
        <v>709</v>
      </c>
      <c r="W3" s="3">
        <v>0</v>
      </c>
      <c r="X3" s="3" t="s">
        <v>97</v>
      </c>
      <c r="Y3" s="3" t="s">
        <v>97</v>
      </c>
      <c r="Z3" s="4">
        <v>46243</v>
      </c>
      <c r="AA3" s="3" t="s">
        <v>64</v>
      </c>
      <c r="AB3" s="3" t="s">
        <v>479</v>
      </c>
      <c r="AC3" s="3" t="s">
        <v>614</v>
      </c>
      <c r="AD3" s="9" t="s">
        <v>633</v>
      </c>
    </row>
    <row r="4" spans="1:30" x14ac:dyDescent="0.3">
      <c r="A4" s="8">
        <f>A3+1</f>
        <v>2</v>
      </c>
      <c r="B4" s="3" t="s">
        <v>21</v>
      </c>
      <c r="C4" s="3" t="s">
        <v>237</v>
      </c>
      <c r="D4" s="3" t="s">
        <v>147</v>
      </c>
      <c r="E4" s="3" t="s">
        <v>236</v>
      </c>
      <c r="F4" s="3">
        <v>1302</v>
      </c>
      <c r="G4" s="4">
        <v>46241</v>
      </c>
      <c r="H4" s="4"/>
      <c r="I4" s="3" t="s">
        <v>31</v>
      </c>
      <c r="J4" s="3" t="s">
        <v>28</v>
      </c>
      <c r="K4" s="3">
        <v>15</v>
      </c>
      <c r="L4" s="3">
        <v>300</v>
      </c>
      <c r="M4" s="3" t="s">
        <v>32</v>
      </c>
      <c r="N4" s="4">
        <v>46246</v>
      </c>
      <c r="O4" s="4">
        <v>46247</v>
      </c>
      <c r="P4" s="3" t="s">
        <v>219</v>
      </c>
      <c r="Q4" s="3" t="s">
        <v>29</v>
      </c>
      <c r="R4" s="3" t="s">
        <v>26</v>
      </c>
      <c r="S4" s="3"/>
      <c r="T4" s="3"/>
      <c r="U4" s="5" t="s">
        <v>223</v>
      </c>
      <c r="V4" s="3">
        <v>709</v>
      </c>
      <c r="W4" s="3">
        <v>0</v>
      </c>
      <c r="X4" s="3" t="s">
        <v>97</v>
      </c>
      <c r="Y4" s="3" t="s">
        <v>97</v>
      </c>
      <c r="Z4" s="4">
        <v>46243</v>
      </c>
      <c r="AA4" s="3" t="s">
        <v>64</v>
      </c>
      <c r="AB4" s="3" t="s">
        <v>479</v>
      </c>
      <c r="AC4" s="3" t="s">
        <v>614</v>
      </c>
      <c r="AD4" s="9" t="s">
        <v>633</v>
      </c>
    </row>
    <row r="5" spans="1:30" x14ac:dyDescent="0.3">
      <c r="A5" s="8">
        <f t="shared" ref="A5:A68" si="0">A4+1</f>
        <v>3</v>
      </c>
      <c r="B5" s="3" t="s">
        <v>21</v>
      </c>
      <c r="C5" s="3" t="s">
        <v>229</v>
      </c>
      <c r="D5" s="3" t="s">
        <v>147</v>
      </c>
      <c r="E5" s="3" t="s">
        <v>239</v>
      </c>
      <c r="F5" s="3">
        <v>1305</v>
      </c>
      <c r="G5" s="4">
        <v>46241</v>
      </c>
      <c r="H5" s="4"/>
      <c r="I5" s="3" t="s">
        <v>31</v>
      </c>
      <c r="J5" s="3" t="s">
        <v>28</v>
      </c>
      <c r="K5" s="3">
        <v>9</v>
      </c>
      <c r="L5" s="3">
        <v>180</v>
      </c>
      <c r="M5" s="3" t="s">
        <v>32</v>
      </c>
      <c r="N5" s="4">
        <v>46246</v>
      </c>
      <c r="O5" s="4">
        <v>46247</v>
      </c>
      <c r="P5" s="3" t="s">
        <v>219</v>
      </c>
      <c r="Q5" s="3" t="s">
        <v>29</v>
      </c>
      <c r="R5" s="3" t="s">
        <v>26</v>
      </c>
      <c r="S5" s="3"/>
      <c r="T5" s="3"/>
      <c r="U5" s="5" t="s">
        <v>238</v>
      </c>
      <c r="V5" s="3">
        <v>709</v>
      </c>
      <c r="W5" s="3">
        <v>0</v>
      </c>
      <c r="X5" s="3" t="s">
        <v>97</v>
      </c>
      <c r="Y5" s="3" t="s">
        <v>97</v>
      </c>
      <c r="Z5" s="4">
        <v>46243</v>
      </c>
      <c r="AA5" s="3" t="s">
        <v>64</v>
      </c>
      <c r="AB5" s="3" t="s">
        <v>479</v>
      </c>
      <c r="AC5" s="3" t="s">
        <v>614</v>
      </c>
      <c r="AD5" s="9" t="s">
        <v>633</v>
      </c>
    </row>
    <row r="6" spans="1:30" x14ac:dyDescent="0.3">
      <c r="A6" s="8">
        <f t="shared" si="0"/>
        <v>4</v>
      </c>
      <c r="B6" s="3" t="s">
        <v>21</v>
      </c>
      <c r="C6" s="3" t="s">
        <v>229</v>
      </c>
      <c r="D6" s="3" t="s">
        <v>147</v>
      </c>
      <c r="E6" s="3" t="s">
        <v>240</v>
      </c>
      <c r="F6" s="3">
        <v>1306</v>
      </c>
      <c r="G6" s="4">
        <v>46241</v>
      </c>
      <c r="H6" s="4"/>
      <c r="I6" s="3" t="s">
        <v>24</v>
      </c>
      <c r="J6" s="3" t="s">
        <v>28</v>
      </c>
      <c r="K6" s="3">
        <v>4</v>
      </c>
      <c r="L6" s="3">
        <v>48</v>
      </c>
      <c r="M6" s="3" t="s">
        <v>32</v>
      </c>
      <c r="N6" s="4">
        <v>46246</v>
      </c>
      <c r="O6" s="4">
        <v>46247</v>
      </c>
      <c r="P6" s="3" t="s">
        <v>219</v>
      </c>
      <c r="Q6" s="3" t="s">
        <v>29</v>
      </c>
      <c r="R6" s="3" t="s">
        <v>26</v>
      </c>
      <c r="S6" s="3"/>
      <c r="T6" s="3"/>
      <c r="U6" s="5" t="s">
        <v>238</v>
      </c>
      <c r="V6" s="3">
        <v>709</v>
      </c>
      <c r="W6" s="3">
        <v>0</v>
      </c>
      <c r="X6" s="3" t="s">
        <v>97</v>
      </c>
      <c r="Y6" s="3" t="s">
        <v>97</v>
      </c>
      <c r="Z6" s="4">
        <v>46243</v>
      </c>
      <c r="AA6" s="3" t="s">
        <v>64</v>
      </c>
      <c r="AB6" s="3" t="s">
        <v>479</v>
      </c>
      <c r="AC6" s="3" t="s">
        <v>614</v>
      </c>
      <c r="AD6" s="9" t="s">
        <v>633</v>
      </c>
    </row>
    <row r="7" spans="1:30" x14ac:dyDescent="0.3">
      <c r="A7" s="8">
        <f t="shared" si="0"/>
        <v>5</v>
      </c>
      <c r="B7" s="3" t="s">
        <v>21</v>
      </c>
      <c r="C7" s="3" t="s">
        <v>241</v>
      </c>
      <c r="D7" s="3" t="s">
        <v>242</v>
      </c>
      <c r="E7" s="3" t="s">
        <v>243</v>
      </c>
      <c r="F7" s="3">
        <v>1307</v>
      </c>
      <c r="G7" s="4">
        <v>46241</v>
      </c>
      <c r="H7" s="4"/>
      <c r="I7" s="3" t="s">
        <v>31</v>
      </c>
      <c r="J7" s="3" t="s">
        <v>28</v>
      </c>
      <c r="K7" s="3">
        <v>6</v>
      </c>
      <c r="L7" s="3">
        <v>120</v>
      </c>
      <c r="M7" s="3" t="s">
        <v>32</v>
      </c>
      <c r="N7" s="4">
        <v>46262</v>
      </c>
      <c r="O7" s="4">
        <v>46255</v>
      </c>
      <c r="P7" s="3" t="s">
        <v>219</v>
      </c>
      <c r="Q7" s="3" t="s">
        <v>29</v>
      </c>
      <c r="R7" s="3" t="s">
        <v>26</v>
      </c>
      <c r="S7" s="3"/>
      <c r="T7" s="3"/>
      <c r="U7" s="5" t="s">
        <v>238</v>
      </c>
      <c r="V7" s="3">
        <v>709</v>
      </c>
      <c r="W7" s="3">
        <v>0</v>
      </c>
      <c r="X7" s="3" t="s">
        <v>97</v>
      </c>
      <c r="Y7" s="3" t="s">
        <v>97</v>
      </c>
      <c r="Z7" s="4">
        <v>46253</v>
      </c>
      <c r="AA7" s="3" t="s">
        <v>597</v>
      </c>
      <c r="AB7" s="3" t="s">
        <v>609</v>
      </c>
      <c r="AC7" s="3" t="s">
        <v>627</v>
      </c>
      <c r="AD7" s="9" t="s">
        <v>633</v>
      </c>
    </row>
    <row r="8" spans="1:30" x14ac:dyDescent="0.3">
      <c r="A8" s="8">
        <f t="shared" si="0"/>
        <v>6</v>
      </c>
      <c r="B8" s="3" t="s">
        <v>21</v>
      </c>
      <c r="C8" s="3" t="s">
        <v>244</v>
      </c>
      <c r="D8" s="3" t="s">
        <v>245</v>
      </c>
      <c r="E8" s="3" t="s">
        <v>246</v>
      </c>
      <c r="F8" s="3">
        <v>1308</v>
      </c>
      <c r="G8" s="4">
        <v>46241</v>
      </c>
      <c r="H8" s="4"/>
      <c r="I8" s="3" t="s">
        <v>34</v>
      </c>
      <c r="J8" s="3" t="s">
        <v>28</v>
      </c>
      <c r="K8" s="3">
        <v>20</v>
      </c>
      <c r="L8" s="3">
        <v>200</v>
      </c>
      <c r="M8" s="3" t="s">
        <v>32</v>
      </c>
      <c r="N8" s="4">
        <v>46254</v>
      </c>
      <c r="O8" s="4">
        <v>46255</v>
      </c>
      <c r="P8" s="3" t="s">
        <v>219</v>
      </c>
      <c r="Q8" s="3" t="s">
        <v>29</v>
      </c>
      <c r="R8" s="3" t="s">
        <v>26</v>
      </c>
      <c r="S8" s="3"/>
      <c r="T8" s="3"/>
      <c r="U8" s="5" t="s">
        <v>238</v>
      </c>
      <c r="V8" s="3">
        <v>709</v>
      </c>
      <c r="W8" s="3">
        <v>0</v>
      </c>
      <c r="X8" s="3" t="s">
        <v>97</v>
      </c>
      <c r="Y8" s="3" t="s">
        <v>97</v>
      </c>
      <c r="Z8" s="4">
        <v>46250</v>
      </c>
      <c r="AA8" s="3" t="s">
        <v>308</v>
      </c>
      <c r="AB8" s="3" t="s">
        <v>472</v>
      </c>
      <c r="AC8" s="3" t="s">
        <v>629</v>
      </c>
      <c r="AD8" s="9" t="s">
        <v>633</v>
      </c>
    </row>
    <row r="9" spans="1:30" x14ac:dyDescent="0.3">
      <c r="A9" s="8">
        <f t="shared" si="0"/>
        <v>7</v>
      </c>
      <c r="B9" s="3" t="s">
        <v>21</v>
      </c>
      <c r="C9" s="3" t="s">
        <v>244</v>
      </c>
      <c r="D9" s="3" t="s">
        <v>245</v>
      </c>
      <c r="E9" s="3" t="s">
        <v>247</v>
      </c>
      <c r="F9" s="3">
        <v>1309</v>
      </c>
      <c r="G9" s="4">
        <v>46241</v>
      </c>
      <c r="H9" s="4"/>
      <c r="I9" s="3" t="s">
        <v>31</v>
      </c>
      <c r="J9" s="3" t="s">
        <v>28</v>
      </c>
      <c r="K9" s="3">
        <v>3</v>
      </c>
      <c r="L9" s="3">
        <v>60</v>
      </c>
      <c r="M9" s="3" t="s">
        <v>32</v>
      </c>
      <c r="N9" s="4">
        <v>46254</v>
      </c>
      <c r="O9" s="4">
        <v>46253</v>
      </c>
      <c r="P9" s="3" t="s">
        <v>219</v>
      </c>
      <c r="Q9" s="3" t="s">
        <v>29</v>
      </c>
      <c r="R9" s="3" t="s">
        <v>26</v>
      </c>
      <c r="S9" s="3"/>
      <c r="T9" s="3"/>
      <c r="U9" s="5" t="s">
        <v>238</v>
      </c>
      <c r="V9" s="3">
        <v>709</v>
      </c>
      <c r="W9" s="3">
        <v>0</v>
      </c>
      <c r="X9" s="3" t="s">
        <v>97</v>
      </c>
      <c r="Y9" s="3" t="s">
        <v>97</v>
      </c>
      <c r="Z9" s="4">
        <v>46250</v>
      </c>
      <c r="AA9" s="3" t="s">
        <v>308</v>
      </c>
      <c r="AB9" s="3" t="s">
        <v>472</v>
      </c>
      <c r="AC9" s="3" t="s">
        <v>629</v>
      </c>
      <c r="AD9" s="9" t="s">
        <v>633</v>
      </c>
    </row>
    <row r="10" spans="1:30" x14ac:dyDescent="0.3">
      <c r="A10" s="8">
        <f t="shared" si="0"/>
        <v>8</v>
      </c>
      <c r="B10" s="3" t="s">
        <v>21</v>
      </c>
      <c r="C10" s="3" t="s">
        <v>116</v>
      </c>
      <c r="D10" s="3" t="s">
        <v>537</v>
      </c>
      <c r="E10" s="3" t="s">
        <v>248</v>
      </c>
      <c r="F10" s="3">
        <v>1310</v>
      </c>
      <c r="G10" s="4">
        <v>46241</v>
      </c>
      <c r="H10" s="4"/>
      <c r="I10" s="3" t="s">
        <v>34</v>
      </c>
      <c r="J10" s="3" t="s">
        <v>28</v>
      </c>
      <c r="K10" s="3">
        <v>30</v>
      </c>
      <c r="L10" s="3">
        <v>300</v>
      </c>
      <c r="M10" s="3" t="s">
        <v>32</v>
      </c>
      <c r="N10" s="4">
        <v>46254</v>
      </c>
      <c r="O10" s="4">
        <v>46253</v>
      </c>
      <c r="P10" s="3" t="s">
        <v>219</v>
      </c>
      <c r="Q10" s="3" t="s">
        <v>29</v>
      </c>
      <c r="R10" s="3" t="s">
        <v>26</v>
      </c>
      <c r="S10" s="3"/>
      <c r="T10" s="3"/>
      <c r="U10" s="5" t="s">
        <v>238</v>
      </c>
      <c r="V10" s="3">
        <v>709</v>
      </c>
      <c r="W10" s="3">
        <v>0</v>
      </c>
      <c r="X10" s="3" t="s">
        <v>97</v>
      </c>
      <c r="Y10" s="3" t="s">
        <v>97</v>
      </c>
      <c r="Z10" s="4">
        <v>46250</v>
      </c>
      <c r="AA10" s="3" t="s">
        <v>308</v>
      </c>
      <c r="AB10" s="3" t="s">
        <v>472</v>
      </c>
      <c r="AC10" s="3" t="s">
        <v>629</v>
      </c>
      <c r="AD10" s="9" t="s">
        <v>633</v>
      </c>
    </row>
    <row r="11" spans="1:30" x14ac:dyDescent="0.3">
      <c r="A11" s="8">
        <f t="shared" si="0"/>
        <v>9</v>
      </c>
      <c r="B11" s="3" t="s">
        <v>21</v>
      </c>
      <c r="C11" s="3" t="s">
        <v>249</v>
      </c>
      <c r="D11" s="3" t="s">
        <v>250</v>
      </c>
      <c r="E11" s="3" t="s">
        <v>251</v>
      </c>
      <c r="F11" s="3">
        <v>1311</v>
      </c>
      <c r="G11" s="4">
        <v>46241</v>
      </c>
      <c r="H11" s="4"/>
      <c r="I11" s="3" t="s">
        <v>34</v>
      </c>
      <c r="J11" s="3" t="s">
        <v>28</v>
      </c>
      <c r="K11" s="3">
        <v>5</v>
      </c>
      <c r="L11" s="3">
        <v>50</v>
      </c>
      <c r="M11" s="3" t="s">
        <v>32</v>
      </c>
      <c r="N11" s="4">
        <v>46254</v>
      </c>
      <c r="O11" s="4">
        <v>46254</v>
      </c>
      <c r="P11" s="3" t="s">
        <v>219</v>
      </c>
      <c r="Q11" s="3" t="s">
        <v>29</v>
      </c>
      <c r="R11" s="3" t="s">
        <v>26</v>
      </c>
      <c r="S11" s="3"/>
      <c r="T11" s="3"/>
      <c r="U11" s="5" t="s">
        <v>238</v>
      </c>
      <c r="V11" s="3">
        <v>709</v>
      </c>
      <c r="W11" s="3">
        <v>0</v>
      </c>
      <c r="X11" s="3" t="s">
        <v>97</v>
      </c>
      <c r="Y11" s="3" t="s">
        <v>97</v>
      </c>
      <c r="Z11" s="4">
        <v>46250</v>
      </c>
      <c r="AA11" s="3" t="s">
        <v>308</v>
      </c>
      <c r="AB11" s="3" t="s">
        <v>472</v>
      </c>
      <c r="AC11" s="3" t="s">
        <v>629</v>
      </c>
      <c r="AD11" s="9" t="s">
        <v>633</v>
      </c>
    </row>
    <row r="12" spans="1:30" x14ac:dyDescent="0.3">
      <c r="A12" s="8">
        <f t="shared" si="0"/>
        <v>10</v>
      </c>
      <c r="B12" s="3" t="s">
        <v>21</v>
      </c>
      <c r="C12" s="3" t="s">
        <v>252</v>
      </c>
      <c r="D12" s="3" t="s">
        <v>253</v>
      </c>
      <c r="E12" s="3" t="s">
        <v>254</v>
      </c>
      <c r="F12" s="3">
        <v>1312</v>
      </c>
      <c r="G12" s="4">
        <v>46241</v>
      </c>
      <c r="H12" s="4"/>
      <c r="I12" s="3" t="s">
        <v>31</v>
      </c>
      <c r="J12" s="3" t="s">
        <v>28</v>
      </c>
      <c r="K12" s="3">
        <v>36</v>
      </c>
      <c r="L12" s="3">
        <v>720</v>
      </c>
      <c r="M12" s="3" t="s">
        <v>32</v>
      </c>
      <c r="N12" s="4">
        <v>46249</v>
      </c>
      <c r="O12" s="4">
        <v>46252</v>
      </c>
      <c r="P12" s="3" t="s">
        <v>219</v>
      </c>
      <c r="Q12" s="3" t="s">
        <v>29</v>
      </c>
      <c r="R12" s="3" t="s">
        <v>26</v>
      </c>
      <c r="S12" s="3"/>
      <c r="T12" s="3"/>
      <c r="U12" s="5" t="s">
        <v>238</v>
      </c>
      <c r="V12" s="3">
        <v>709</v>
      </c>
      <c r="W12" s="3">
        <v>0</v>
      </c>
      <c r="X12" s="3" t="s">
        <v>97</v>
      </c>
      <c r="Y12" s="3" t="s">
        <v>97</v>
      </c>
      <c r="Z12" s="4">
        <v>46249</v>
      </c>
      <c r="AA12" s="3" t="s">
        <v>601</v>
      </c>
      <c r="AB12" s="3" t="s">
        <v>469</v>
      </c>
      <c r="AC12" s="3"/>
      <c r="AD12" s="9" t="s">
        <v>633</v>
      </c>
    </row>
    <row r="13" spans="1:30" hidden="1" x14ac:dyDescent="0.3">
      <c r="A13" s="8">
        <f t="shared" si="0"/>
        <v>11</v>
      </c>
      <c r="B13" s="3" t="s">
        <v>21</v>
      </c>
      <c r="C13" s="3" t="s">
        <v>47</v>
      </c>
      <c r="D13" s="3" t="s">
        <v>48</v>
      </c>
      <c r="E13" s="3" t="s">
        <v>255</v>
      </c>
      <c r="F13" s="3">
        <v>1313</v>
      </c>
      <c r="G13" s="4">
        <v>46241</v>
      </c>
      <c r="H13" s="4"/>
      <c r="I13" s="3" t="s">
        <v>34</v>
      </c>
      <c r="J13" s="3" t="s">
        <v>28</v>
      </c>
      <c r="K13" s="3">
        <v>25</v>
      </c>
      <c r="L13" s="3">
        <v>250</v>
      </c>
      <c r="M13" s="3" t="s">
        <v>32</v>
      </c>
      <c r="N13" s="4">
        <v>46259</v>
      </c>
      <c r="O13" s="4">
        <v>46259</v>
      </c>
      <c r="P13" s="3" t="s">
        <v>637</v>
      </c>
      <c r="Q13" s="3" t="s">
        <v>29</v>
      </c>
      <c r="R13" s="3" t="s">
        <v>26</v>
      </c>
      <c r="S13" s="3"/>
      <c r="T13" s="3"/>
      <c r="U13" s="5" t="s">
        <v>238</v>
      </c>
      <c r="V13" s="3">
        <v>709</v>
      </c>
      <c r="W13" s="3">
        <v>0</v>
      </c>
      <c r="X13" s="3" t="s">
        <v>637</v>
      </c>
      <c r="Y13" s="3" t="s">
        <v>637</v>
      </c>
      <c r="Z13" s="4">
        <v>46259</v>
      </c>
      <c r="AA13" s="3" t="s">
        <v>638</v>
      </c>
      <c r="AB13" s="3" t="s">
        <v>639</v>
      </c>
      <c r="AC13" s="3"/>
      <c r="AD13" s="9" t="s">
        <v>643</v>
      </c>
    </row>
    <row r="14" spans="1:30" x14ac:dyDescent="0.3">
      <c r="A14" s="8">
        <f t="shared" si="0"/>
        <v>12</v>
      </c>
      <c r="B14" s="3" t="s">
        <v>21</v>
      </c>
      <c r="C14" s="3" t="s">
        <v>256</v>
      </c>
      <c r="D14" s="3" t="s">
        <v>214</v>
      </c>
      <c r="E14" s="3" t="s">
        <v>257</v>
      </c>
      <c r="F14" s="18">
        <v>1314</v>
      </c>
      <c r="G14" s="4">
        <v>46241</v>
      </c>
      <c r="H14" s="4"/>
      <c r="I14" s="3" t="s">
        <v>31</v>
      </c>
      <c r="J14" s="3" t="s">
        <v>28</v>
      </c>
      <c r="K14" s="3">
        <v>12</v>
      </c>
      <c r="L14" s="3">
        <v>240</v>
      </c>
      <c r="M14" s="3" t="s">
        <v>32</v>
      </c>
      <c r="N14" s="4">
        <v>46257</v>
      </c>
      <c r="O14" s="4">
        <v>46252</v>
      </c>
      <c r="P14" s="3" t="s">
        <v>219</v>
      </c>
      <c r="Q14" s="3" t="s">
        <v>29</v>
      </c>
      <c r="R14" s="3" t="s">
        <v>26</v>
      </c>
      <c r="S14" s="3"/>
      <c r="T14" s="3"/>
      <c r="U14" s="5" t="s">
        <v>238</v>
      </c>
      <c r="V14" s="3">
        <v>709</v>
      </c>
      <c r="W14" s="3">
        <v>0</v>
      </c>
      <c r="X14" s="3" t="s">
        <v>97</v>
      </c>
      <c r="Y14" s="3" t="s">
        <v>97</v>
      </c>
      <c r="Z14" s="4">
        <v>46249</v>
      </c>
      <c r="AA14" s="3" t="s">
        <v>602</v>
      </c>
      <c r="AB14" s="3" t="s">
        <v>469</v>
      </c>
      <c r="AC14" s="3"/>
      <c r="AD14" s="9" t="s">
        <v>633</v>
      </c>
    </row>
    <row r="15" spans="1:30" x14ac:dyDescent="0.3">
      <c r="A15" s="8">
        <f t="shared" si="0"/>
        <v>13</v>
      </c>
      <c r="B15" s="3" t="s">
        <v>21</v>
      </c>
      <c r="C15" s="3" t="s">
        <v>258</v>
      </c>
      <c r="D15" s="3" t="s">
        <v>441</v>
      </c>
      <c r="E15" s="3" t="s">
        <v>259</v>
      </c>
      <c r="F15" s="3">
        <v>1315</v>
      </c>
      <c r="G15" s="4">
        <v>46241</v>
      </c>
      <c r="H15" s="4"/>
      <c r="I15" s="3" t="s">
        <v>31</v>
      </c>
      <c r="J15" s="3" t="s">
        <v>28</v>
      </c>
      <c r="K15" s="3">
        <v>6</v>
      </c>
      <c r="L15" s="3">
        <v>120</v>
      </c>
      <c r="M15" s="3" t="s">
        <v>32</v>
      </c>
      <c r="N15" s="4">
        <v>46254</v>
      </c>
      <c r="O15" s="4">
        <v>46254</v>
      </c>
      <c r="P15" s="3" t="s">
        <v>219</v>
      </c>
      <c r="Q15" s="3" t="s">
        <v>29</v>
      </c>
      <c r="R15" s="3" t="s">
        <v>26</v>
      </c>
      <c r="S15" s="3"/>
      <c r="T15" s="3"/>
      <c r="U15" s="5" t="s">
        <v>238</v>
      </c>
      <c r="V15" s="3">
        <v>709</v>
      </c>
      <c r="W15" s="3">
        <v>0</v>
      </c>
      <c r="X15" s="3" t="s">
        <v>97</v>
      </c>
      <c r="Y15" s="3" t="s">
        <v>97</v>
      </c>
      <c r="Z15" s="4">
        <v>46253</v>
      </c>
      <c r="AA15" s="3" t="s">
        <v>585</v>
      </c>
      <c r="AB15" s="3" t="s">
        <v>586</v>
      </c>
      <c r="AC15" s="3" t="s">
        <v>621</v>
      </c>
      <c r="AD15" s="9" t="s">
        <v>633</v>
      </c>
    </row>
    <row r="16" spans="1:30" x14ac:dyDescent="0.3">
      <c r="A16" s="8">
        <f t="shared" si="0"/>
        <v>14</v>
      </c>
      <c r="B16" s="3" t="s">
        <v>21</v>
      </c>
      <c r="C16" s="3" t="s">
        <v>258</v>
      </c>
      <c r="D16" s="3" t="s">
        <v>441</v>
      </c>
      <c r="E16" s="3" t="s">
        <v>260</v>
      </c>
      <c r="F16" s="3">
        <v>1316</v>
      </c>
      <c r="G16" s="4">
        <v>46241</v>
      </c>
      <c r="H16" s="4"/>
      <c r="I16" s="3" t="s">
        <v>34</v>
      </c>
      <c r="J16" s="3" t="s">
        <v>28</v>
      </c>
      <c r="K16" s="3">
        <v>10</v>
      </c>
      <c r="L16" s="3">
        <v>100</v>
      </c>
      <c r="M16" s="3" t="s">
        <v>32</v>
      </c>
      <c r="N16" s="4">
        <v>46254</v>
      </c>
      <c r="O16" s="4">
        <v>46254</v>
      </c>
      <c r="P16" s="3" t="s">
        <v>219</v>
      </c>
      <c r="Q16" s="3" t="s">
        <v>29</v>
      </c>
      <c r="R16" s="3" t="s">
        <v>26</v>
      </c>
      <c r="S16" s="3"/>
      <c r="T16" s="3"/>
      <c r="U16" s="5" t="s">
        <v>238</v>
      </c>
      <c r="V16" s="3">
        <v>709</v>
      </c>
      <c r="W16" s="3">
        <v>0</v>
      </c>
      <c r="X16" s="3" t="s">
        <v>97</v>
      </c>
      <c r="Y16" s="3" t="s">
        <v>97</v>
      </c>
      <c r="Z16" s="4">
        <v>46253</v>
      </c>
      <c r="AA16" s="3" t="s">
        <v>585</v>
      </c>
      <c r="AB16" s="3" t="s">
        <v>586</v>
      </c>
      <c r="AC16" s="3" t="s">
        <v>621</v>
      </c>
      <c r="AD16" s="9" t="s">
        <v>633</v>
      </c>
    </row>
    <row r="17" spans="1:30" x14ac:dyDescent="0.3">
      <c r="A17" s="8">
        <f t="shared" si="0"/>
        <v>15</v>
      </c>
      <c r="B17" s="3" t="s">
        <v>21</v>
      </c>
      <c r="C17" s="3" t="s">
        <v>258</v>
      </c>
      <c r="D17" s="3" t="s">
        <v>441</v>
      </c>
      <c r="E17" s="3" t="s">
        <v>261</v>
      </c>
      <c r="F17" s="3">
        <v>1317</v>
      </c>
      <c r="G17" s="4">
        <v>46241</v>
      </c>
      <c r="H17" s="4"/>
      <c r="I17" s="3" t="s">
        <v>24</v>
      </c>
      <c r="J17" s="3" t="s">
        <v>28</v>
      </c>
      <c r="K17" s="3">
        <v>4</v>
      </c>
      <c r="L17" s="3">
        <v>48</v>
      </c>
      <c r="M17" s="3" t="s">
        <v>32</v>
      </c>
      <c r="N17" s="4">
        <v>46254</v>
      </c>
      <c r="O17" s="4">
        <v>46254</v>
      </c>
      <c r="P17" s="3" t="s">
        <v>219</v>
      </c>
      <c r="Q17" s="3" t="s">
        <v>29</v>
      </c>
      <c r="R17" s="3" t="s">
        <v>26</v>
      </c>
      <c r="S17" s="3"/>
      <c r="T17" s="3"/>
      <c r="U17" s="5" t="s">
        <v>238</v>
      </c>
      <c r="V17" s="3">
        <v>709</v>
      </c>
      <c r="W17" s="3">
        <v>0</v>
      </c>
      <c r="X17" s="3" t="s">
        <v>97</v>
      </c>
      <c r="Y17" s="3" t="s">
        <v>97</v>
      </c>
      <c r="Z17" s="4">
        <v>46253</v>
      </c>
      <c r="AA17" s="3" t="s">
        <v>585</v>
      </c>
      <c r="AB17" s="3" t="s">
        <v>586</v>
      </c>
      <c r="AC17" s="3" t="s">
        <v>621</v>
      </c>
      <c r="AD17" s="9" t="s">
        <v>633</v>
      </c>
    </row>
    <row r="18" spans="1:30" x14ac:dyDescent="0.3">
      <c r="A18" s="8">
        <f t="shared" si="0"/>
        <v>16</v>
      </c>
      <c r="B18" s="3" t="s">
        <v>21</v>
      </c>
      <c r="C18" s="3" t="s">
        <v>262</v>
      </c>
      <c r="D18" s="3" t="s">
        <v>263</v>
      </c>
      <c r="E18" s="3" t="s">
        <v>264</v>
      </c>
      <c r="F18" s="3">
        <v>1318</v>
      </c>
      <c r="G18" s="4">
        <v>46241</v>
      </c>
      <c r="H18" s="4"/>
      <c r="I18" s="3" t="s">
        <v>34</v>
      </c>
      <c r="J18" s="3" t="s">
        <v>28</v>
      </c>
      <c r="K18" s="3">
        <v>30</v>
      </c>
      <c r="L18" s="3">
        <v>300</v>
      </c>
      <c r="M18" s="3" t="s">
        <v>32</v>
      </c>
      <c r="N18" s="4">
        <v>46256</v>
      </c>
      <c r="O18" s="4">
        <v>46262</v>
      </c>
      <c r="P18" s="3" t="s">
        <v>219</v>
      </c>
      <c r="Q18" s="3" t="s">
        <v>29</v>
      </c>
      <c r="R18" s="3" t="s">
        <v>26</v>
      </c>
      <c r="S18" s="3"/>
      <c r="T18" s="3"/>
      <c r="U18" s="5" t="s">
        <v>238</v>
      </c>
      <c r="V18" s="3">
        <v>709</v>
      </c>
      <c r="W18" s="3">
        <v>0</v>
      </c>
      <c r="X18" s="3" t="s">
        <v>97</v>
      </c>
      <c r="Y18" s="3" t="s">
        <v>97</v>
      </c>
      <c r="Z18" s="4">
        <v>46254</v>
      </c>
      <c r="AA18" s="3" t="s">
        <v>603</v>
      </c>
      <c r="AB18" s="3" t="s">
        <v>592</v>
      </c>
      <c r="AC18" s="3"/>
      <c r="AD18" s="9" t="s">
        <v>633</v>
      </c>
    </row>
    <row r="19" spans="1:30" x14ac:dyDescent="0.3">
      <c r="A19" s="8">
        <f t="shared" si="0"/>
        <v>17</v>
      </c>
      <c r="B19" s="3" t="s">
        <v>21</v>
      </c>
      <c r="C19" s="3" t="s">
        <v>262</v>
      </c>
      <c r="D19" s="3" t="s">
        <v>263</v>
      </c>
      <c r="E19" s="3" t="s">
        <v>265</v>
      </c>
      <c r="F19" s="3">
        <v>1319</v>
      </c>
      <c r="G19" s="4">
        <v>46241</v>
      </c>
      <c r="H19" s="4"/>
      <c r="I19" s="3" t="s">
        <v>31</v>
      </c>
      <c r="J19" s="3" t="s">
        <v>28</v>
      </c>
      <c r="K19" s="3">
        <v>6</v>
      </c>
      <c r="L19" s="3">
        <v>120</v>
      </c>
      <c r="M19" s="3" t="s">
        <v>32</v>
      </c>
      <c r="N19" s="4">
        <v>46256</v>
      </c>
      <c r="O19" s="4">
        <v>46262</v>
      </c>
      <c r="P19" s="3" t="s">
        <v>219</v>
      </c>
      <c r="Q19" s="3" t="s">
        <v>29</v>
      </c>
      <c r="R19" s="3" t="s">
        <v>26</v>
      </c>
      <c r="S19" s="3"/>
      <c r="T19" s="3"/>
      <c r="U19" s="5" t="s">
        <v>238</v>
      </c>
      <c r="V19" s="3">
        <v>709</v>
      </c>
      <c r="W19" s="3">
        <v>0</v>
      </c>
      <c r="X19" s="3" t="s">
        <v>97</v>
      </c>
      <c r="Y19" s="3" t="s">
        <v>97</v>
      </c>
      <c r="Z19" s="4">
        <v>46254</v>
      </c>
      <c r="AA19" s="3" t="s">
        <v>604</v>
      </c>
      <c r="AB19" s="3" t="s">
        <v>592</v>
      </c>
      <c r="AC19" s="3"/>
      <c r="AD19" s="9" t="s">
        <v>633</v>
      </c>
    </row>
    <row r="20" spans="1:30" x14ac:dyDescent="0.3">
      <c r="A20" s="8">
        <f t="shared" si="0"/>
        <v>18</v>
      </c>
      <c r="B20" s="3" t="s">
        <v>21</v>
      </c>
      <c r="C20" s="3" t="s">
        <v>262</v>
      </c>
      <c r="D20" s="3" t="s">
        <v>263</v>
      </c>
      <c r="E20" s="3" t="s">
        <v>266</v>
      </c>
      <c r="F20" s="3">
        <v>1320</v>
      </c>
      <c r="G20" s="4">
        <v>46241</v>
      </c>
      <c r="H20" s="4"/>
      <c r="I20" s="3" t="s">
        <v>24</v>
      </c>
      <c r="J20" s="3" t="s">
        <v>28</v>
      </c>
      <c r="K20" s="3">
        <v>4</v>
      </c>
      <c r="L20" s="3">
        <v>48</v>
      </c>
      <c r="M20" s="3" t="s">
        <v>32</v>
      </c>
      <c r="N20" s="4">
        <v>46256</v>
      </c>
      <c r="O20" s="4"/>
      <c r="P20" s="3" t="s">
        <v>219</v>
      </c>
      <c r="Q20" s="3" t="s">
        <v>29</v>
      </c>
      <c r="R20" s="3" t="s">
        <v>26</v>
      </c>
      <c r="S20" s="3"/>
      <c r="T20" s="3"/>
      <c r="U20" s="5" t="s">
        <v>238</v>
      </c>
      <c r="V20" s="3">
        <v>709</v>
      </c>
      <c r="W20" s="3">
        <v>0</v>
      </c>
      <c r="X20" s="3" t="s">
        <v>219</v>
      </c>
      <c r="Y20" s="3" t="s">
        <v>219</v>
      </c>
      <c r="Z20" s="4">
        <v>46254</v>
      </c>
      <c r="AA20" s="3" t="s">
        <v>605</v>
      </c>
      <c r="AB20" s="3" t="s">
        <v>592</v>
      </c>
      <c r="AC20" s="3"/>
      <c r="AD20" s="9" t="s">
        <v>633</v>
      </c>
    </row>
    <row r="21" spans="1:30" x14ac:dyDescent="0.3">
      <c r="A21" s="8">
        <f t="shared" si="0"/>
        <v>19</v>
      </c>
      <c r="B21" s="3" t="s">
        <v>21</v>
      </c>
      <c r="C21" s="3" t="s">
        <v>267</v>
      </c>
      <c r="D21" s="3" t="s">
        <v>152</v>
      </c>
      <c r="E21" s="3" t="s">
        <v>268</v>
      </c>
      <c r="F21" s="3">
        <v>1321</v>
      </c>
      <c r="G21" s="4">
        <v>46241</v>
      </c>
      <c r="H21" s="4"/>
      <c r="I21" s="3" t="s">
        <v>24</v>
      </c>
      <c r="J21" s="3" t="s">
        <v>28</v>
      </c>
      <c r="K21" s="3">
        <v>20</v>
      </c>
      <c r="L21" s="3">
        <v>240</v>
      </c>
      <c r="M21" s="3" t="s">
        <v>32</v>
      </c>
      <c r="N21" s="4">
        <v>46254</v>
      </c>
      <c r="O21" s="4">
        <v>46254</v>
      </c>
      <c r="P21" s="3" t="s">
        <v>219</v>
      </c>
      <c r="Q21" s="3" t="s">
        <v>29</v>
      </c>
      <c r="R21" s="3" t="s">
        <v>26</v>
      </c>
      <c r="S21" s="3"/>
      <c r="T21" s="3"/>
      <c r="U21" s="5" t="s">
        <v>238</v>
      </c>
      <c r="V21" s="3">
        <v>709</v>
      </c>
      <c r="W21" s="3">
        <v>0</v>
      </c>
      <c r="X21" s="3" t="s">
        <v>97</v>
      </c>
      <c r="Y21" s="3" t="s">
        <v>97</v>
      </c>
      <c r="Z21" s="4">
        <v>46254</v>
      </c>
      <c r="AA21" s="3" t="s">
        <v>584</v>
      </c>
      <c r="AB21" s="3" t="s">
        <v>583</v>
      </c>
      <c r="AC21" s="3" t="s">
        <v>611</v>
      </c>
      <c r="AD21" s="9" t="s">
        <v>633</v>
      </c>
    </row>
    <row r="22" spans="1:30" x14ac:dyDescent="0.3">
      <c r="A22" s="8">
        <f t="shared" si="0"/>
        <v>20</v>
      </c>
      <c r="B22" s="3" t="s">
        <v>21</v>
      </c>
      <c r="C22" s="3" t="s">
        <v>267</v>
      </c>
      <c r="D22" s="3" t="s">
        <v>152</v>
      </c>
      <c r="E22" s="3" t="s">
        <v>273</v>
      </c>
      <c r="F22" s="3">
        <v>1322</v>
      </c>
      <c r="G22" s="4">
        <v>46241</v>
      </c>
      <c r="H22" s="4"/>
      <c r="I22" s="3" t="s">
        <v>31</v>
      </c>
      <c r="J22" s="3" t="s">
        <v>28</v>
      </c>
      <c r="K22" s="3">
        <v>24</v>
      </c>
      <c r="L22" s="3">
        <v>480</v>
      </c>
      <c r="M22" s="3" t="s">
        <v>32</v>
      </c>
      <c r="N22" s="4">
        <v>46254</v>
      </c>
      <c r="O22" s="4">
        <v>46254</v>
      </c>
      <c r="P22" s="3" t="s">
        <v>219</v>
      </c>
      <c r="Q22" s="3" t="s">
        <v>29</v>
      </c>
      <c r="R22" s="3" t="s">
        <v>26</v>
      </c>
      <c r="S22" s="3"/>
      <c r="T22" s="3"/>
      <c r="U22" s="5" t="s">
        <v>238</v>
      </c>
      <c r="V22" s="3">
        <v>709</v>
      </c>
      <c r="W22" s="3">
        <v>0</v>
      </c>
      <c r="X22" s="3" t="s">
        <v>97</v>
      </c>
      <c r="Y22" s="3" t="s">
        <v>97</v>
      </c>
      <c r="Z22" s="4">
        <v>46254</v>
      </c>
      <c r="AA22" s="3" t="s">
        <v>584</v>
      </c>
      <c r="AB22" s="3" t="s">
        <v>583</v>
      </c>
      <c r="AC22" s="3" t="s">
        <v>611</v>
      </c>
      <c r="AD22" s="9" t="s">
        <v>633</v>
      </c>
    </row>
    <row r="23" spans="1:30" x14ac:dyDescent="0.3">
      <c r="A23" s="8">
        <f t="shared" si="0"/>
        <v>21</v>
      </c>
      <c r="B23" s="3" t="s">
        <v>21</v>
      </c>
      <c r="C23" s="3" t="s">
        <v>274</v>
      </c>
      <c r="D23" s="3" t="s">
        <v>275</v>
      </c>
      <c r="E23" s="3" t="s">
        <v>276</v>
      </c>
      <c r="F23" s="3">
        <v>1323</v>
      </c>
      <c r="G23" s="4">
        <v>46241</v>
      </c>
      <c r="H23" s="4"/>
      <c r="I23" s="3" t="s">
        <v>34</v>
      </c>
      <c r="J23" s="3" t="s">
        <v>28</v>
      </c>
      <c r="K23" s="3">
        <v>30</v>
      </c>
      <c r="L23" s="3">
        <v>300</v>
      </c>
      <c r="M23" s="3" t="s">
        <v>32</v>
      </c>
      <c r="N23" s="4">
        <v>46262</v>
      </c>
      <c r="O23" s="4">
        <v>46255</v>
      </c>
      <c r="P23" s="3" t="s">
        <v>219</v>
      </c>
      <c r="Q23" s="3" t="s">
        <v>29</v>
      </c>
      <c r="R23" s="3" t="s">
        <v>26</v>
      </c>
      <c r="S23" s="3"/>
      <c r="T23" s="3"/>
      <c r="U23" s="5" t="s">
        <v>238</v>
      </c>
      <c r="V23" s="3">
        <v>709</v>
      </c>
      <c r="W23" s="3">
        <v>0</v>
      </c>
      <c r="X23" s="3" t="s">
        <v>97</v>
      </c>
      <c r="Y23" s="3" t="s">
        <v>97</v>
      </c>
      <c r="Z23" s="4">
        <v>46253</v>
      </c>
      <c r="AA23" s="3" t="s">
        <v>606</v>
      </c>
      <c r="AB23" s="3" t="s">
        <v>469</v>
      </c>
      <c r="AC23" s="3" t="s">
        <v>635</v>
      </c>
      <c r="AD23" s="9" t="s">
        <v>633</v>
      </c>
    </row>
    <row r="24" spans="1:30" x14ac:dyDescent="0.3">
      <c r="A24" s="8">
        <f t="shared" si="0"/>
        <v>22</v>
      </c>
      <c r="B24" s="3" t="s">
        <v>21</v>
      </c>
      <c r="C24" s="3" t="s">
        <v>274</v>
      </c>
      <c r="D24" s="3" t="s">
        <v>275</v>
      </c>
      <c r="E24" s="3" t="s">
        <v>277</v>
      </c>
      <c r="F24" s="3">
        <v>1324</v>
      </c>
      <c r="G24" s="4">
        <v>46241</v>
      </c>
      <c r="H24" s="4"/>
      <c r="I24" s="3" t="s">
        <v>31</v>
      </c>
      <c r="J24" s="3" t="s">
        <v>28</v>
      </c>
      <c r="K24" s="3">
        <v>6</v>
      </c>
      <c r="L24" s="3">
        <v>120</v>
      </c>
      <c r="M24" s="3" t="s">
        <v>32</v>
      </c>
      <c r="N24" s="4">
        <v>46262</v>
      </c>
      <c r="O24" s="4">
        <v>46255</v>
      </c>
      <c r="P24" s="3" t="s">
        <v>219</v>
      </c>
      <c r="Q24" s="3" t="s">
        <v>29</v>
      </c>
      <c r="R24" s="3" t="s">
        <v>26</v>
      </c>
      <c r="S24" s="3"/>
      <c r="T24" s="3"/>
      <c r="U24" s="5" t="s">
        <v>238</v>
      </c>
      <c r="V24" s="3">
        <v>709</v>
      </c>
      <c r="W24" s="3">
        <v>0</v>
      </c>
      <c r="X24" s="3" t="s">
        <v>97</v>
      </c>
      <c r="Y24" s="3" t="s">
        <v>97</v>
      </c>
      <c r="Z24" s="4">
        <v>46253</v>
      </c>
      <c r="AA24" s="3" t="s">
        <v>606</v>
      </c>
      <c r="AB24" s="3" t="s">
        <v>469</v>
      </c>
      <c r="AC24" s="3" t="s">
        <v>635</v>
      </c>
      <c r="AD24" s="9" t="s">
        <v>633</v>
      </c>
    </row>
    <row r="25" spans="1:30" x14ac:dyDescent="0.3">
      <c r="A25" s="8">
        <f t="shared" si="0"/>
        <v>23</v>
      </c>
      <c r="B25" s="3" t="s">
        <v>21</v>
      </c>
      <c r="C25" s="3" t="s">
        <v>110</v>
      </c>
      <c r="D25" s="3" t="s">
        <v>172</v>
      </c>
      <c r="E25" s="3" t="s">
        <v>269</v>
      </c>
      <c r="F25" s="3">
        <v>1325</v>
      </c>
      <c r="G25" s="4">
        <v>46241</v>
      </c>
      <c r="H25" s="4"/>
      <c r="I25" s="3" t="s">
        <v>31</v>
      </c>
      <c r="J25" s="3" t="s">
        <v>28</v>
      </c>
      <c r="K25" s="3">
        <v>6</v>
      </c>
      <c r="L25" s="3">
        <v>120</v>
      </c>
      <c r="M25" s="3" t="s">
        <v>32</v>
      </c>
      <c r="N25" s="4">
        <v>46262</v>
      </c>
      <c r="O25" s="4">
        <v>46258</v>
      </c>
      <c r="P25" s="3" t="s">
        <v>219</v>
      </c>
      <c r="Q25" s="3" t="s">
        <v>29</v>
      </c>
      <c r="R25" s="3" t="s">
        <v>26</v>
      </c>
      <c r="S25" s="3"/>
      <c r="T25" s="3"/>
      <c r="U25" s="5" t="s">
        <v>238</v>
      </c>
      <c r="V25" s="3">
        <v>709</v>
      </c>
      <c r="W25" s="3">
        <v>0</v>
      </c>
      <c r="X25" s="3" t="s">
        <v>97</v>
      </c>
      <c r="Y25" s="3" t="s">
        <v>97</v>
      </c>
      <c r="Z25" s="4">
        <v>46253</v>
      </c>
      <c r="AA25" s="3" t="s">
        <v>597</v>
      </c>
      <c r="AB25" s="3" t="s">
        <v>609</v>
      </c>
      <c r="AC25" s="3" t="s">
        <v>627</v>
      </c>
      <c r="AD25" s="9" t="s">
        <v>633</v>
      </c>
    </row>
    <row r="26" spans="1:30" x14ac:dyDescent="0.3">
      <c r="A26" s="8">
        <f t="shared" si="0"/>
        <v>24</v>
      </c>
      <c r="B26" s="3" t="s">
        <v>21</v>
      </c>
      <c r="C26" s="3" t="s">
        <v>110</v>
      </c>
      <c r="D26" s="3" t="s">
        <v>172</v>
      </c>
      <c r="E26" s="3" t="s">
        <v>270</v>
      </c>
      <c r="F26" s="3">
        <v>1326</v>
      </c>
      <c r="G26" s="4">
        <v>46241</v>
      </c>
      <c r="H26" s="4"/>
      <c r="I26" s="3" t="s">
        <v>34</v>
      </c>
      <c r="J26" s="3" t="s">
        <v>28</v>
      </c>
      <c r="K26" s="3">
        <v>15</v>
      </c>
      <c r="L26" s="3">
        <v>150</v>
      </c>
      <c r="M26" s="3" t="s">
        <v>32</v>
      </c>
      <c r="N26" s="4">
        <v>46262</v>
      </c>
      <c r="O26" s="4">
        <v>46258</v>
      </c>
      <c r="P26" s="3" t="s">
        <v>219</v>
      </c>
      <c r="Q26" s="3" t="s">
        <v>29</v>
      </c>
      <c r="R26" s="3" t="s">
        <v>26</v>
      </c>
      <c r="S26" s="3"/>
      <c r="T26" s="3"/>
      <c r="U26" s="5" t="s">
        <v>238</v>
      </c>
      <c r="V26" s="3">
        <v>709</v>
      </c>
      <c r="W26" s="3">
        <v>0</v>
      </c>
      <c r="X26" s="3" t="s">
        <v>97</v>
      </c>
      <c r="Y26" s="3" t="s">
        <v>97</v>
      </c>
      <c r="Z26" s="4">
        <v>46253</v>
      </c>
      <c r="AA26" s="3" t="s">
        <v>597</v>
      </c>
      <c r="AB26" s="3" t="s">
        <v>609</v>
      </c>
      <c r="AC26" s="3" t="s">
        <v>627</v>
      </c>
      <c r="AD26" s="9" t="s">
        <v>633</v>
      </c>
    </row>
    <row r="27" spans="1:30" x14ac:dyDescent="0.3">
      <c r="A27" s="8">
        <f t="shared" si="0"/>
        <v>25</v>
      </c>
      <c r="B27" s="3" t="s">
        <v>21</v>
      </c>
      <c r="C27" s="3" t="s">
        <v>271</v>
      </c>
      <c r="D27" s="3" t="s">
        <v>159</v>
      </c>
      <c r="E27" s="3" t="s">
        <v>272</v>
      </c>
      <c r="F27" s="3">
        <v>1327</v>
      </c>
      <c r="G27" s="4">
        <v>46241</v>
      </c>
      <c r="H27" s="4"/>
      <c r="I27" s="3" t="s">
        <v>31</v>
      </c>
      <c r="J27" s="3" t="s">
        <v>28</v>
      </c>
      <c r="K27" s="3">
        <v>12</v>
      </c>
      <c r="L27" s="3">
        <v>240</v>
      </c>
      <c r="M27" s="3" t="s">
        <v>32</v>
      </c>
      <c r="N27" s="4">
        <v>46262</v>
      </c>
      <c r="O27" s="4">
        <v>46255</v>
      </c>
      <c r="P27" s="3" t="s">
        <v>219</v>
      </c>
      <c r="Q27" s="3" t="s">
        <v>29</v>
      </c>
      <c r="R27" s="3" t="s">
        <v>26</v>
      </c>
      <c r="S27" s="3"/>
      <c r="T27" s="3"/>
      <c r="U27" s="5" t="s">
        <v>238</v>
      </c>
      <c r="V27" s="3">
        <v>709</v>
      </c>
      <c r="W27" s="3">
        <v>0</v>
      </c>
      <c r="X27" s="3" t="s">
        <v>97</v>
      </c>
      <c r="Y27" s="3" t="s">
        <v>97</v>
      </c>
      <c r="Z27" s="4">
        <v>46253</v>
      </c>
      <c r="AA27" s="3" t="s">
        <v>597</v>
      </c>
      <c r="AB27" s="3" t="s">
        <v>609</v>
      </c>
      <c r="AC27" s="3" t="s">
        <v>627</v>
      </c>
      <c r="AD27" s="9" t="s">
        <v>633</v>
      </c>
    </row>
    <row r="28" spans="1:30" x14ac:dyDescent="0.3">
      <c r="A28" s="8">
        <f t="shared" si="0"/>
        <v>26</v>
      </c>
      <c r="B28" s="3" t="s">
        <v>21</v>
      </c>
      <c r="C28" s="3" t="s">
        <v>113</v>
      </c>
      <c r="D28" s="3" t="s">
        <v>114</v>
      </c>
      <c r="E28" s="3" t="s">
        <v>278</v>
      </c>
      <c r="F28" s="3">
        <v>1328</v>
      </c>
      <c r="G28" s="4">
        <v>46241</v>
      </c>
      <c r="H28" s="4"/>
      <c r="I28" s="3" t="s">
        <v>31</v>
      </c>
      <c r="J28" s="3" t="s">
        <v>28</v>
      </c>
      <c r="K28" s="3">
        <v>9</v>
      </c>
      <c r="L28" s="3">
        <v>180</v>
      </c>
      <c r="M28" s="3" t="s">
        <v>32</v>
      </c>
      <c r="N28" s="4">
        <v>46247</v>
      </c>
      <c r="O28" s="4">
        <v>46246</v>
      </c>
      <c r="P28" s="3" t="s">
        <v>219</v>
      </c>
      <c r="Q28" s="3" t="s">
        <v>29</v>
      </c>
      <c r="R28" s="3" t="s">
        <v>26</v>
      </c>
      <c r="S28" s="3"/>
      <c r="T28" s="3"/>
      <c r="U28" s="5" t="s">
        <v>238</v>
      </c>
      <c r="V28" s="3">
        <v>709</v>
      </c>
      <c r="W28" s="3">
        <v>0</v>
      </c>
      <c r="X28" s="3" t="s">
        <v>97</v>
      </c>
      <c r="Y28" s="3" t="s">
        <v>97</v>
      </c>
      <c r="Z28" s="4">
        <v>46246</v>
      </c>
      <c r="AA28" s="3" t="s">
        <v>607</v>
      </c>
      <c r="AB28" s="3" t="s">
        <v>609</v>
      </c>
      <c r="AC28" s="3"/>
      <c r="AD28" s="9" t="s">
        <v>633</v>
      </c>
    </row>
    <row r="29" spans="1:30" x14ac:dyDescent="0.3">
      <c r="A29" s="8">
        <f t="shared" si="0"/>
        <v>27</v>
      </c>
      <c r="B29" s="3" t="s">
        <v>21</v>
      </c>
      <c r="C29" s="3" t="s">
        <v>113</v>
      </c>
      <c r="D29" s="3" t="s">
        <v>114</v>
      </c>
      <c r="E29" s="3" t="s">
        <v>279</v>
      </c>
      <c r="F29" s="3">
        <v>1329</v>
      </c>
      <c r="G29" s="4">
        <v>46241</v>
      </c>
      <c r="H29" s="4"/>
      <c r="I29" s="3" t="s">
        <v>24</v>
      </c>
      <c r="J29" s="3" t="s">
        <v>28</v>
      </c>
      <c r="K29" s="3">
        <v>4</v>
      </c>
      <c r="L29" s="3">
        <v>48</v>
      </c>
      <c r="M29" s="3" t="s">
        <v>32</v>
      </c>
      <c r="N29" s="4">
        <v>46254</v>
      </c>
      <c r="O29" s="4">
        <v>46251</v>
      </c>
      <c r="P29" s="3" t="s">
        <v>219</v>
      </c>
      <c r="Q29" s="3" t="s">
        <v>29</v>
      </c>
      <c r="R29" s="3" t="s">
        <v>26</v>
      </c>
      <c r="S29" s="3"/>
      <c r="T29" s="3"/>
      <c r="U29" s="5" t="s">
        <v>238</v>
      </c>
      <c r="V29" s="3">
        <v>709</v>
      </c>
      <c r="W29" s="3">
        <v>0</v>
      </c>
      <c r="X29" s="3" t="s">
        <v>97</v>
      </c>
      <c r="Y29" s="3" t="s">
        <v>97</v>
      </c>
      <c r="Z29" s="4">
        <v>46250</v>
      </c>
      <c r="AA29" s="3"/>
      <c r="AB29" s="3"/>
      <c r="AC29" s="3"/>
      <c r="AD29" s="9" t="s">
        <v>633</v>
      </c>
    </row>
    <row r="30" spans="1:30" x14ac:dyDescent="0.3">
      <c r="A30" s="8">
        <f t="shared" si="0"/>
        <v>28</v>
      </c>
      <c r="B30" s="3" t="s">
        <v>21</v>
      </c>
      <c r="C30" s="3" t="s">
        <v>280</v>
      </c>
      <c r="D30" s="3" t="s">
        <v>281</v>
      </c>
      <c r="E30" s="3" t="s">
        <v>282</v>
      </c>
      <c r="F30" s="18">
        <v>1330</v>
      </c>
      <c r="G30" s="4">
        <v>46241</v>
      </c>
      <c r="H30" s="4"/>
      <c r="I30" s="3" t="s">
        <v>31</v>
      </c>
      <c r="J30" s="3" t="s">
        <v>28</v>
      </c>
      <c r="K30" s="3">
        <v>3</v>
      </c>
      <c r="L30" s="3">
        <v>60</v>
      </c>
      <c r="M30" s="3" t="s">
        <v>32</v>
      </c>
      <c r="N30" s="4">
        <v>46258</v>
      </c>
      <c r="O30" s="4">
        <v>46263</v>
      </c>
      <c r="P30" s="3" t="s">
        <v>219</v>
      </c>
      <c r="Q30" s="3" t="s">
        <v>29</v>
      </c>
      <c r="R30" s="3" t="s">
        <v>26</v>
      </c>
      <c r="S30" s="3"/>
      <c r="T30" s="3"/>
      <c r="U30" s="5" t="s">
        <v>238</v>
      </c>
      <c r="V30" s="3">
        <v>709</v>
      </c>
      <c r="W30" s="3">
        <v>0</v>
      </c>
      <c r="X30" s="3" t="s">
        <v>97</v>
      </c>
      <c r="Y30" s="3" t="s">
        <v>97</v>
      </c>
      <c r="Z30" s="4">
        <v>46254</v>
      </c>
      <c r="AA30" s="3" t="s">
        <v>610</v>
      </c>
      <c r="AB30" s="3" t="s">
        <v>469</v>
      </c>
      <c r="AC30" s="3"/>
      <c r="AD30" s="9" t="s">
        <v>633</v>
      </c>
    </row>
    <row r="31" spans="1:30" x14ac:dyDescent="0.3">
      <c r="A31" s="8">
        <f t="shared" si="0"/>
        <v>29</v>
      </c>
      <c r="B31" s="3" t="s">
        <v>21</v>
      </c>
      <c r="C31" s="3" t="s">
        <v>280</v>
      </c>
      <c r="D31" s="3" t="s">
        <v>281</v>
      </c>
      <c r="E31" s="3" t="s">
        <v>283</v>
      </c>
      <c r="F31" s="18">
        <v>1331</v>
      </c>
      <c r="G31" s="4">
        <v>46241</v>
      </c>
      <c r="H31" s="4"/>
      <c r="I31" s="3" t="s">
        <v>34</v>
      </c>
      <c r="J31" s="3" t="s">
        <v>28</v>
      </c>
      <c r="K31" s="3">
        <v>5</v>
      </c>
      <c r="L31" s="3">
        <v>50</v>
      </c>
      <c r="M31" s="3" t="s">
        <v>32</v>
      </c>
      <c r="N31" s="4">
        <v>46258</v>
      </c>
      <c r="O31" s="4">
        <v>46263</v>
      </c>
      <c r="P31" s="3" t="s">
        <v>219</v>
      </c>
      <c r="Q31" s="3" t="s">
        <v>29</v>
      </c>
      <c r="R31" s="3" t="s">
        <v>26</v>
      </c>
      <c r="S31" s="3"/>
      <c r="T31" s="3"/>
      <c r="U31" s="5" t="s">
        <v>238</v>
      </c>
      <c r="V31" s="3">
        <v>709</v>
      </c>
      <c r="W31" s="3">
        <v>0</v>
      </c>
      <c r="X31" s="3" t="s">
        <v>97</v>
      </c>
      <c r="Y31" s="3" t="s">
        <v>97</v>
      </c>
      <c r="Z31" s="4">
        <v>46254</v>
      </c>
      <c r="AA31" s="3" t="s">
        <v>610</v>
      </c>
      <c r="AB31" s="3" t="s">
        <v>469</v>
      </c>
      <c r="AC31" s="3"/>
      <c r="AD31" s="9" t="s">
        <v>633</v>
      </c>
    </row>
    <row r="32" spans="1:30" x14ac:dyDescent="0.3">
      <c r="A32" s="8">
        <f t="shared" si="0"/>
        <v>30</v>
      </c>
      <c r="B32" s="3" t="s">
        <v>21</v>
      </c>
      <c r="C32" s="3" t="s">
        <v>284</v>
      </c>
      <c r="D32" s="3" t="s">
        <v>441</v>
      </c>
      <c r="E32" s="3" t="s">
        <v>285</v>
      </c>
      <c r="F32" s="3">
        <v>1332</v>
      </c>
      <c r="G32" s="4">
        <v>46241</v>
      </c>
      <c r="H32" s="4"/>
      <c r="I32" s="3" t="s">
        <v>34</v>
      </c>
      <c r="J32" s="3" t="s">
        <v>28</v>
      </c>
      <c r="K32" s="3">
        <v>10</v>
      </c>
      <c r="L32" s="3">
        <v>100</v>
      </c>
      <c r="M32" s="3" t="s">
        <v>32</v>
      </c>
      <c r="N32" s="4">
        <v>46254</v>
      </c>
      <c r="O32" s="4">
        <v>46254</v>
      </c>
      <c r="P32" s="3" t="s">
        <v>219</v>
      </c>
      <c r="Q32" s="3" t="s">
        <v>29</v>
      </c>
      <c r="R32" s="3" t="s">
        <v>26</v>
      </c>
      <c r="S32" s="3"/>
      <c r="T32" s="3"/>
      <c r="U32" s="5" t="s">
        <v>238</v>
      </c>
      <c r="V32" s="3">
        <v>709</v>
      </c>
      <c r="W32" s="3">
        <v>0</v>
      </c>
      <c r="X32" s="3" t="s">
        <v>97</v>
      </c>
      <c r="Y32" s="3" t="s">
        <v>97</v>
      </c>
      <c r="Z32" s="4">
        <v>46253</v>
      </c>
      <c r="AA32" s="3" t="s">
        <v>585</v>
      </c>
      <c r="AB32" s="3" t="s">
        <v>586</v>
      </c>
      <c r="AC32" s="3" t="s">
        <v>621</v>
      </c>
      <c r="AD32" s="9" t="s">
        <v>633</v>
      </c>
    </row>
    <row r="33" spans="1:30" x14ac:dyDescent="0.3">
      <c r="A33" s="8">
        <f t="shared" si="0"/>
        <v>31</v>
      </c>
      <c r="B33" s="3" t="s">
        <v>21</v>
      </c>
      <c r="C33" s="3" t="s">
        <v>286</v>
      </c>
      <c r="D33" s="3" t="s">
        <v>287</v>
      </c>
      <c r="E33" s="3" t="s">
        <v>288</v>
      </c>
      <c r="F33" s="3">
        <v>1333</v>
      </c>
      <c r="G33" s="4">
        <v>46241</v>
      </c>
      <c r="H33" s="4"/>
      <c r="I33" s="3" t="s">
        <v>31</v>
      </c>
      <c r="J33" s="3" t="s">
        <v>28</v>
      </c>
      <c r="K33" s="3">
        <v>6</v>
      </c>
      <c r="L33" s="3">
        <v>120</v>
      </c>
      <c r="M33" s="3" t="s">
        <v>32</v>
      </c>
      <c r="N33" s="4">
        <v>46254</v>
      </c>
      <c r="O33" s="4">
        <v>46252</v>
      </c>
      <c r="P33" s="3" t="s">
        <v>219</v>
      </c>
      <c r="Q33" s="3" t="s">
        <v>29</v>
      </c>
      <c r="R33" s="3" t="s">
        <v>26</v>
      </c>
      <c r="S33" s="3"/>
      <c r="T33" s="3"/>
      <c r="U33" s="5" t="s">
        <v>238</v>
      </c>
      <c r="V33" s="3">
        <v>709</v>
      </c>
      <c r="W33" s="3">
        <v>0</v>
      </c>
      <c r="X33" s="3" t="s">
        <v>97</v>
      </c>
      <c r="Y33" s="3" t="s">
        <v>97</v>
      </c>
      <c r="Z33" s="4">
        <v>46250</v>
      </c>
      <c r="AA33" s="3" t="s">
        <v>308</v>
      </c>
      <c r="AB33" s="3" t="s">
        <v>472</v>
      </c>
      <c r="AC33" s="3" t="s">
        <v>629</v>
      </c>
      <c r="AD33" s="9" t="s">
        <v>633</v>
      </c>
    </row>
    <row r="34" spans="1:30" x14ac:dyDescent="0.3">
      <c r="A34" s="8">
        <f t="shared" si="0"/>
        <v>32</v>
      </c>
      <c r="B34" s="3" t="s">
        <v>21</v>
      </c>
      <c r="C34" s="3" t="s">
        <v>286</v>
      </c>
      <c r="D34" s="3" t="s">
        <v>287</v>
      </c>
      <c r="E34" s="3" t="s">
        <v>289</v>
      </c>
      <c r="F34" s="3">
        <v>1334</v>
      </c>
      <c r="G34" s="4">
        <v>46241</v>
      </c>
      <c r="H34" s="4"/>
      <c r="I34" s="3" t="s">
        <v>34</v>
      </c>
      <c r="J34" s="3" t="s">
        <v>28</v>
      </c>
      <c r="K34" s="3">
        <v>30</v>
      </c>
      <c r="L34" s="3">
        <v>300</v>
      </c>
      <c r="M34" s="3" t="s">
        <v>32</v>
      </c>
      <c r="N34" s="4">
        <v>46254</v>
      </c>
      <c r="O34" s="4">
        <v>46252</v>
      </c>
      <c r="P34" s="3" t="s">
        <v>219</v>
      </c>
      <c r="Q34" s="3" t="s">
        <v>29</v>
      </c>
      <c r="R34" s="3" t="s">
        <v>26</v>
      </c>
      <c r="S34" s="3"/>
      <c r="T34" s="3"/>
      <c r="U34" s="5" t="s">
        <v>238</v>
      </c>
      <c r="V34" s="3">
        <v>709</v>
      </c>
      <c r="W34" s="3">
        <v>0</v>
      </c>
      <c r="X34" s="3" t="s">
        <v>97</v>
      </c>
      <c r="Y34" s="3" t="s">
        <v>97</v>
      </c>
      <c r="Z34" s="4">
        <v>46250</v>
      </c>
      <c r="AA34" s="3" t="s">
        <v>308</v>
      </c>
      <c r="AB34" s="3" t="s">
        <v>472</v>
      </c>
      <c r="AC34" s="3" t="s">
        <v>629</v>
      </c>
      <c r="AD34" s="9" t="s">
        <v>633</v>
      </c>
    </row>
    <row r="35" spans="1:30" x14ac:dyDescent="0.3">
      <c r="A35" s="8">
        <f t="shared" si="0"/>
        <v>33</v>
      </c>
      <c r="B35" s="3" t="s">
        <v>21</v>
      </c>
      <c r="C35" s="3" t="s">
        <v>286</v>
      </c>
      <c r="D35" s="3" t="s">
        <v>287</v>
      </c>
      <c r="E35" s="3" t="s">
        <v>290</v>
      </c>
      <c r="F35" s="3">
        <v>1335</v>
      </c>
      <c r="G35" s="4">
        <v>46241</v>
      </c>
      <c r="H35" s="4"/>
      <c r="I35" s="3" t="s">
        <v>24</v>
      </c>
      <c r="J35" s="3" t="s">
        <v>28</v>
      </c>
      <c r="K35" s="3">
        <v>4</v>
      </c>
      <c r="L35" s="3">
        <v>48</v>
      </c>
      <c r="M35" s="3" t="s">
        <v>32</v>
      </c>
      <c r="N35" s="4">
        <v>46254</v>
      </c>
      <c r="O35" s="4">
        <v>46253</v>
      </c>
      <c r="P35" s="3" t="s">
        <v>219</v>
      </c>
      <c r="Q35" s="3" t="s">
        <v>29</v>
      </c>
      <c r="R35" s="3" t="s">
        <v>26</v>
      </c>
      <c r="S35" s="3"/>
      <c r="T35" s="3"/>
      <c r="U35" s="5" t="s">
        <v>238</v>
      </c>
      <c r="V35" s="3">
        <v>709</v>
      </c>
      <c r="W35" s="3">
        <v>0</v>
      </c>
      <c r="X35" s="3" t="s">
        <v>97</v>
      </c>
      <c r="Y35" s="3" t="s">
        <v>97</v>
      </c>
      <c r="Z35" s="4">
        <v>46250</v>
      </c>
      <c r="AA35" s="3" t="s">
        <v>308</v>
      </c>
      <c r="AB35" s="3" t="s">
        <v>472</v>
      </c>
      <c r="AC35" s="3" t="s">
        <v>629</v>
      </c>
      <c r="AD35" s="9" t="s">
        <v>633</v>
      </c>
    </row>
    <row r="36" spans="1:30" x14ac:dyDescent="0.3">
      <c r="A36" s="8">
        <f t="shared" si="0"/>
        <v>34</v>
      </c>
      <c r="B36" s="3" t="s">
        <v>21</v>
      </c>
      <c r="C36" s="3" t="s">
        <v>292</v>
      </c>
      <c r="D36" s="3" t="s">
        <v>293</v>
      </c>
      <c r="E36" s="3" t="s">
        <v>291</v>
      </c>
      <c r="F36" s="3">
        <v>1336</v>
      </c>
      <c r="G36" s="4">
        <v>46241</v>
      </c>
      <c r="H36" s="4"/>
      <c r="I36" s="3" t="s">
        <v>34</v>
      </c>
      <c r="J36" s="3" t="s">
        <v>28</v>
      </c>
      <c r="K36" s="3">
        <v>10</v>
      </c>
      <c r="L36" s="3">
        <v>100</v>
      </c>
      <c r="M36" s="3" t="s">
        <v>32</v>
      </c>
      <c r="N36" s="4">
        <v>46262</v>
      </c>
      <c r="O36" s="4">
        <v>46257</v>
      </c>
      <c r="P36" s="3" t="s">
        <v>219</v>
      </c>
      <c r="Q36" s="3" t="s">
        <v>29</v>
      </c>
      <c r="R36" s="3" t="s">
        <v>26</v>
      </c>
      <c r="S36" s="3"/>
      <c r="T36" s="3"/>
      <c r="U36" s="5" t="s">
        <v>238</v>
      </c>
      <c r="V36" s="3">
        <v>709</v>
      </c>
      <c r="W36" s="3">
        <v>0</v>
      </c>
      <c r="X36" s="3" t="s">
        <v>97</v>
      </c>
      <c r="Y36" s="3" t="s">
        <v>97</v>
      </c>
      <c r="Z36" s="4">
        <v>46253</v>
      </c>
      <c r="AA36" s="3" t="s">
        <v>597</v>
      </c>
      <c r="AB36" s="3" t="s">
        <v>609</v>
      </c>
      <c r="AC36" s="3" t="s">
        <v>627</v>
      </c>
      <c r="AD36" s="9" t="s">
        <v>633</v>
      </c>
    </row>
    <row r="37" spans="1:30" x14ac:dyDescent="0.3">
      <c r="A37" s="8">
        <f t="shared" si="0"/>
        <v>35</v>
      </c>
      <c r="B37" s="3" t="s">
        <v>21</v>
      </c>
      <c r="C37" s="3" t="s">
        <v>292</v>
      </c>
      <c r="D37" s="3" t="s">
        <v>293</v>
      </c>
      <c r="E37" s="3" t="s">
        <v>294</v>
      </c>
      <c r="F37" s="3">
        <v>1337</v>
      </c>
      <c r="G37" s="4">
        <v>46241</v>
      </c>
      <c r="H37" s="4"/>
      <c r="I37" s="3" t="s">
        <v>24</v>
      </c>
      <c r="J37" s="3" t="s">
        <v>28</v>
      </c>
      <c r="K37" s="3">
        <v>4</v>
      </c>
      <c r="L37" s="3">
        <v>48</v>
      </c>
      <c r="M37" s="3" t="s">
        <v>32</v>
      </c>
      <c r="N37" s="4">
        <v>46262</v>
      </c>
      <c r="O37" s="4">
        <v>46257</v>
      </c>
      <c r="P37" s="3" t="s">
        <v>219</v>
      </c>
      <c r="Q37" s="3" t="s">
        <v>29</v>
      </c>
      <c r="R37" s="3" t="s">
        <v>26</v>
      </c>
      <c r="S37" s="3"/>
      <c r="T37" s="3"/>
      <c r="U37" s="5" t="s">
        <v>238</v>
      </c>
      <c r="V37" s="3">
        <v>709</v>
      </c>
      <c r="W37" s="3">
        <v>0</v>
      </c>
      <c r="X37" s="3" t="s">
        <v>97</v>
      </c>
      <c r="Y37" s="3" t="s">
        <v>97</v>
      </c>
      <c r="Z37" s="4">
        <v>46253</v>
      </c>
      <c r="AA37" s="3" t="s">
        <v>597</v>
      </c>
      <c r="AB37" s="3" t="s">
        <v>609</v>
      </c>
      <c r="AC37" s="3" t="s">
        <v>627</v>
      </c>
      <c r="AD37" s="9" t="s">
        <v>633</v>
      </c>
    </row>
    <row r="38" spans="1:30" x14ac:dyDescent="0.3">
      <c r="A38" s="8">
        <f t="shared" si="0"/>
        <v>36</v>
      </c>
      <c r="B38" s="3" t="s">
        <v>21</v>
      </c>
      <c r="C38" s="3" t="s">
        <v>295</v>
      </c>
      <c r="D38" s="3" t="s">
        <v>281</v>
      </c>
      <c r="E38" s="3" t="s">
        <v>296</v>
      </c>
      <c r="F38" s="18">
        <v>1338</v>
      </c>
      <c r="G38" s="4">
        <v>46241</v>
      </c>
      <c r="H38" s="4"/>
      <c r="I38" s="3" t="s">
        <v>34</v>
      </c>
      <c r="J38" s="3" t="s">
        <v>28</v>
      </c>
      <c r="K38" s="3">
        <v>35</v>
      </c>
      <c r="L38" s="3">
        <v>350</v>
      </c>
      <c r="M38" s="3" t="s">
        <v>32</v>
      </c>
      <c r="N38" s="4">
        <v>46258</v>
      </c>
      <c r="O38" s="4">
        <v>46263</v>
      </c>
      <c r="P38" s="3" t="s">
        <v>219</v>
      </c>
      <c r="Q38" s="3" t="s">
        <v>29</v>
      </c>
      <c r="R38" s="3" t="s">
        <v>26</v>
      </c>
      <c r="S38" s="3"/>
      <c r="T38" s="3"/>
      <c r="U38" s="5" t="s">
        <v>238</v>
      </c>
      <c r="V38" s="3">
        <v>709</v>
      </c>
      <c r="W38" s="3">
        <v>0</v>
      </c>
      <c r="X38" s="3" t="s">
        <v>97</v>
      </c>
      <c r="Y38" s="3" t="s">
        <v>97</v>
      </c>
      <c r="Z38" s="4">
        <v>46254</v>
      </c>
      <c r="AA38" s="3" t="s">
        <v>610</v>
      </c>
      <c r="AB38" s="3" t="s">
        <v>469</v>
      </c>
      <c r="AC38" s="3"/>
      <c r="AD38" s="9" t="s">
        <v>633</v>
      </c>
    </row>
    <row r="39" spans="1:30" x14ac:dyDescent="0.3">
      <c r="A39" s="8">
        <f t="shared" si="0"/>
        <v>37</v>
      </c>
      <c r="B39" s="3" t="s">
        <v>21</v>
      </c>
      <c r="C39" s="3" t="s">
        <v>297</v>
      </c>
      <c r="D39" s="3" t="s">
        <v>441</v>
      </c>
      <c r="E39" s="3" t="s">
        <v>298</v>
      </c>
      <c r="F39" s="3">
        <v>1339</v>
      </c>
      <c r="G39" s="4">
        <v>46241</v>
      </c>
      <c r="H39" s="4"/>
      <c r="I39" s="3" t="s">
        <v>24</v>
      </c>
      <c r="J39" s="3" t="s">
        <v>28</v>
      </c>
      <c r="K39" s="3">
        <v>4</v>
      </c>
      <c r="L39" s="3">
        <v>48</v>
      </c>
      <c r="M39" s="3" t="s">
        <v>32</v>
      </c>
      <c r="N39" s="4">
        <v>46254</v>
      </c>
      <c r="O39" s="4">
        <v>46254</v>
      </c>
      <c r="P39" s="3" t="s">
        <v>219</v>
      </c>
      <c r="Q39" s="3" t="s">
        <v>29</v>
      </c>
      <c r="R39" s="3" t="s">
        <v>26</v>
      </c>
      <c r="S39" s="3"/>
      <c r="T39" s="3"/>
      <c r="U39" s="5" t="s">
        <v>238</v>
      </c>
      <c r="V39" s="3">
        <v>709</v>
      </c>
      <c r="W39" s="3">
        <v>0</v>
      </c>
      <c r="X39" s="3" t="s">
        <v>97</v>
      </c>
      <c r="Y39" s="3" t="s">
        <v>97</v>
      </c>
      <c r="Z39" s="4">
        <v>46253</v>
      </c>
      <c r="AA39" s="3" t="s">
        <v>585</v>
      </c>
      <c r="AB39" s="3" t="s">
        <v>586</v>
      </c>
      <c r="AC39" s="3" t="s">
        <v>621</v>
      </c>
      <c r="AD39" s="9" t="s">
        <v>633</v>
      </c>
    </row>
    <row r="40" spans="1:30" x14ac:dyDescent="0.3">
      <c r="A40" s="8">
        <f t="shared" si="0"/>
        <v>38</v>
      </c>
      <c r="B40" s="3" t="s">
        <v>21</v>
      </c>
      <c r="C40" s="3" t="s">
        <v>297</v>
      </c>
      <c r="D40" s="3" t="s">
        <v>441</v>
      </c>
      <c r="E40" s="3" t="s">
        <v>299</v>
      </c>
      <c r="F40" s="3">
        <v>1340</v>
      </c>
      <c r="G40" s="4">
        <v>46241</v>
      </c>
      <c r="H40" s="4"/>
      <c r="I40" s="3" t="s">
        <v>31</v>
      </c>
      <c r="J40" s="3" t="s">
        <v>28</v>
      </c>
      <c r="K40" s="3">
        <v>3</v>
      </c>
      <c r="L40" s="3">
        <v>60</v>
      </c>
      <c r="M40" s="3" t="s">
        <v>32</v>
      </c>
      <c r="N40" s="4">
        <v>46254</v>
      </c>
      <c r="O40" s="4">
        <v>46254</v>
      </c>
      <c r="P40" s="3" t="s">
        <v>219</v>
      </c>
      <c r="Q40" s="3" t="s">
        <v>29</v>
      </c>
      <c r="R40" s="3" t="s">
        <v>26</v>
      </c>
      <c r="S40" s="3"/>
      <c r="T40" s="3"/>
      <c r="U40" s="5" t="s">
        <v>238</v>
      </c>
      <c r="V40" s="3">
        <v>709</v>
      </c>
      <c r="W40" s="3">
        <v>0</v>
      </c>
      <c r="X40" s="3" t="s">
        <v>97</v>
      </c>
      <c r="Y40" s="3" t="s">
        <v>97</v>
      </c>
      <c r="Z40" s="4">
        <v>46253</v>
      </c>
      <c r="AA40" s="3" t="s">
        <v>585</v>
      </c>
      <c r="AB40" s="3" t="s">
        <v>586</v>
      </c>
      <c r="AC40" s="3" t="s">
        <v>621</v>
      </c>
      <c r="AD40" s="9" t="s">
        <v>633</v>
      </c>
    </row>
    <row r="41" spans="1:30" x14ac:dyDescent="0.3">
      <c r="A41" s="8">
        <f t="shared" si="0"/>
        <v>39</v>
      </c>
      <c r="B41" s="3" t="s">
        <v>21</v>
      </c>
      <c r="C41" s="3" t="s">
        <v>297</v>
      </c>
      <c r="D41" s="3" t="s">
        <v>441</v>
      </c>
      <c r="E41" s="3" t="s">
        <v>300</v>
      </c>
      <c r="F41" s="3">
        <v>1341</v>
      </c>
      <c r="G41" s="4">
        <v>46241</v>
      </c>
      <c r="H41" s="4"/>
      <c r="I41" s="3" t="s">
        <v>34</v>
      </c>
      <c r="J41" s="3" t="s">
        <v>28</v>
      </c>
      <c r="K41" s="3">
        <v>5</v>
      </c>
      <c r="L41" s="3">
        <v>50</v>
      </c>
      <c r="M41" s="3" t="s">
        <v>32</v>
      </c>
      <c r="N41" s="4">
        <v>46254</v>
      </c>
      <c r="O41" s="4">
        <v>46254</v>
      </c>
      <c r="P41" s="3" t="s">
        <v>219</v>
      </c>
      <c r="Q41" s="3" t="s">
        <v>29</v>
      </c>
      <c r="R41" s="3" t="s">
        <v>26</v>
      </c>
      <c r="S41" s="3"/>
      <c r="T41" s="3"/>
      <c r="U41" s="5" t="s">
        <v>238</v>
      </c>
      <c r="V41" s="3">
        <v>709</v>
      </c>
      <c r="W41" s="3">
        <v>0</v>
      </c>
      <c r="X41" s="3" t="s">
        <v>97</v>
      </c>
      <c r="Y41" s="3" t="s">
        <v>97</v>
      </c>
      <c r="Z41" s="4">
        <v>46253</v>
      </c>
      <c r="AA41" s="3" t="s">
        <v>585</v>
      </c>
      <c r="AB41" s="3" t="s">
        <v>586</v>
      </c>
      <c r="AC41" s="3" t="s">
        <v>621</v>
      </c>
      <c r="AD41" s="9" t="s">
        <v>633</v>
      </c>
    </row>
    <row r="42" spans="1:30" x14ac:dyDescent="0.3">
      <c r="A42" s="8">
        <f t="shared" si="0"/>
        <v>40</v>
      </c>
      <c r="B42" s="3" t="s">
        <v>21</v>
      </c>
      <c r="C42" s="3" t="s">
        <v>301</v>
      </c>
      <c r="D42" s="3" t="s">
        <v>441</v>
      </c>
      <c r="E42" s="3" t="s">
        <v>302</v>
      </c>
      <c r="F42" s="3">
        <v>1342</v>
      </c>
      <c r="G42" s="4">
        <v>46241</v>
      </c>
      <c r="H42" s="4"/>
      <c r="I42" s="3" t="s">
        <v>34</v>
      </c>
      <c r="J42" s="3" t="s">
        <v>28</v>
      </c>
      <c r="K42" s="3">
        <v>20</v>
      </c>
      <c r="L42" s="3">
        <v>200</v>
      </c>
      <c r="M42" s="3" t="s">
        <v>32</v>
      </c>
      <c r="N42" s="4">
        <v>46254</v>
      </c>
      <c r="O42" s="4">
        <v>46254</v>
      </c>
      <c r="P42" s="3" t="s">
        <v>219</v>
      </c>
      <c r="Q42" s="3" t="s">
        <v>29</v>
      </c>
      <c r="R42" s="3" t="s">
        <v>26</v>
      </c>
      <c r="S42" s="3"/>
      <c r="T42" s="3"/>
      <c r="U42" s="5" t="s">
        <v>238</v>
      </c>
      <c r="V42" s="3">
        <v>709</v>
      </c>
      <c r="W42" s="3">
        <v>0</v>
      </c>
      <c r="X42" s="3" t="s">
        <v>97</v>
      </c>
      <c r="Y42" s="3" t="s">
        <v>97</v>
      </c>
      <c r="Z42" s="4">
        <v>46253</v>
      </c>
      <c r="AA42" s="3" t="s">
        <v>585</v>
      </c>
      <c r="AB42" s="3" t="s">
        <v>586</v>
      </c>
      <c r="AC42" s="3" t="s">
        <v>621</v>
      </c>
      <c r="AD42" s="9" t="s">
        <v>633</v>
      </c>
    </row>
    <row r="43" spans="1:30" x14ac:dyDescent="0.3">
      <c r="A43" s="8">
        <f t="shared" si="0"/>
        <v>41</v>
      </c>
      <c r="B43" s="3" t="s">
        <v>21</v>
      </c>
      <c r="C43" s="3" t="s">
        <v>303</v>
      </c>
      <c r="D43" s="3" t="s">
        <v>304</v>
      </c>
      <c r="E43" s="3" t="s">
        <v>305</v>
      </c>
      <c r="F43" s="18">
        <v>1343</v>
      </c>
      <c r="G43" s="4">
        <v>46241</v>
      </c>
      <c r="H43" s="4"/>
      <c r="I43" s="3" t="s">
        <v>34</v>
      </c>
      <c r="J43" s="3" t="s">
        <v>28</v>
      </c>
      <c r="K43" s="3">
        <v>15</v>
      </c>
      <c r="L43" s="3">
        <v>150</v>
      </c>
      <c r="M43" s="3" t="s">
        <v>32</v>
      </c>
      <c r="N43" s="4">
        <v>46258</v>
      </c>
      <c r="O43" s="3"/>
      <c r="P43" s="3" t="s">
        <v>414</v>
      </c>
      <c r="Q43" s="3" t="s">
        <v>29</v>
      </c>
      <c r="R43" s="3" t="s">
        <v>26</v>
      </c>
      <c r="S43" s="3"/>
      <c r="T43" s="3"/>
      <c r="U43" s="5" t="s">
        <v>238</v>
      </c>
      <c r="V43" s="3">
        <v>709</v>
      </c>
      <c r="W43" s="3">
        <v>0</v>
      </c>
      <c r="X43" s="3" t="s">
        <v>97</v>
      </c>
      <c r="Y43" s="3" t="s">
        <v>97</v>
      </c>
      <c r="Z43" s="4">
        <v>46254</v>
      </c>
      <c r="AA43" s="3" t="s">
        <v>610</v>
      </c>
      <c r="AB43" s="3" t="s">
        <v>469</v>
      </c>
      <c r="AC43" s="3"/>
      <c r="AD43" s="9" t="s">
        <v>633</v>
      </c>
    </row>
    <row r="44" spans="1:30" x14ac:dyDescent="0.3">
      <c r="A44" s="8">
        <f t="shared" si="0"/>
        <v>42</v>
      </c>
      <c r="B44" s="3" t="s">
        <v>21</v>
      </c>
      <c r="C44" s="3" t="s">
        <v>306</v>
      </c>
      <c r="D44" s="3" t="s">
        <v>263</v>
      </c>
      <c r="E44" s="3" t="s">
        <v>307</v>
      </c>
      <c r="F44" s="3">
        <v>1344</v>
      </c>
      <c r="G44" s="4">
        <v>46242</v>
      </c>
      <c r="H44" s="4"/>
      <c r="I44" s="3" t="s">
        <v>24</v>
      </c>
      <c r="J44" s="3" t="s">
        <v>28</v>
      </c>
      <c r="K44" s="3">
        <v>4</v>
      </c>
      <c r="L44" s="3">
        <v>48</v>
      </c>
      <c r="M44" s="3" t="s">
        <v>32</v>
      </c>
      <c r="N44" s="4">
        <v>46256</v>
      </c>
      <c r="O44" s="4">
        <v>46262</v>
      </c>
      <c r="P44" s="3" t="s">
        <v>219</v>
      </c>
      <c r="Q44" s="3" t="s">
        <v>29</v>
      </c>
      <c r="R44" s="3" t="s">
        <v>26</v>
      </c>
      <c r="S44" s="3"/>
      <c r="T44" s="3"/>
      <c r="U44" s="5" t="s">
        <v>308</v>
      </c>
      <c r="V44" s="3">
        <v>709</v>
      </c>
      <c r="W44" s="3">
        <v>0</v>
      </c>
      <c r="X44" s="3" t="s">
        <v>97</v>
      </c>
      <c r="Y44" s="3" t="s">
        <v>97</v>
      </c>
      <c r="Z44" s="4">
        <v>46254</v>
      </c>
      <c r="AA44" s="3" t="s">
        <v>591</v>
      </c>
      <c r="AB44" s="3" t="s">
        <v>592</v>
      </c>
      <c r="AC44" s="3" t="s">
        <v>620</v>
      </c>
      <c r="AD44" s="9" t="s">
        <v>633</v>
      </c>
    </row>
    <row r="45" spans="1:30" x14ac:dyDescent="0.3">
      <c r="A45" s="8">
        <f t="shared" si="0"/>
        <v>43</v>
      </c>
      <c r="B45" s="3" t="s">
        <v>21</v>
      </c>
      <c r="C45" s="3" t="s">
        <v>306</v>
      </c>
      <c r="D45" s="3" t="s">
        <v>263</v>
      </c>
      <c r="E45" s="3" t="s">
        <v>309</v>
      </c>
      <c r="F45" s="3">
        <v>1345</v>
      </c>
      <c r="G45" s="4">
        <v>46242</v>
      </c>
      <c r="H45" s="4"/>
      <c r="I45" s="3" t="s">
        <v>31</v>
      </c>
      <c r="J45" s="3" t="s">
        <v>28</v>
      </c>
      <c r="K45" s="3">
        <v>15</v>
      </c>
      <c r="L45" s="3">
        <v>300</v>
      </c>
      <c r="M45" s="3" t="s">
        <v>32</v>
      </c>
      <c r="N45" s="4">
        <v>46256</v>
      </c>
      <c r="O45" s="4">
        <v>46262</v>
      </c>
      <c r="P45" s="3" t="s">
        <v>219</v>
      </c>
      <c r="Q45" s="3" t="s">
        <v>29</v>
      </c>
      <c r="R45" s="3" t="s">
        <v>26</v>
      </c>
      <c r="S45" s="3"/>
      <c r="T45" s="3"/>
      <c r="U45" s="5" t="s">
        <v>308</v>
      </c>
      <c r="V45" s="3">
        <v>709</v>
      </c>
      <c r="W45" s="3">
        <v>0</v>
      </c>
      <c r="X45" s="3" t="s">
        <v>97</v>
      </c>
      <c r="Y45" s="3" t="s">
        <v>97</v>
      </c>
      <c r="Z45" s="4">
        <v>46254</v>
      </c>
      <c r="AA45" s="3" t="s">
        <v>591</v>
      </c>
      <c r="AB45" s="3" t="s">
        <v>592</v>
      </c>
      <c r="AC45" s="3" t="s">
        <v>620</v>
      </c>
      <c r="AD45" s="9" t="s">
        <v>633</v>
      </c>
    </row>
    <row r="46" spans="1:30" x14ac:dyDescent="0.3">
      <c r="A46" s="8">
        <f t="shared" si="0"/>
        <v>44</v>
      </c>
      <c r="B46" s="3" t="s">
        <v>21</v>
      </c>
      <c r="C46" s="3" t="s">
        <v>306</v>
      </c>
      <c r="D46" s="3" t="s">
        <v>263</v>
      </c>
      <c r="E46" s="3" t="s">
        <v>310</v>
      </c>
      <c r="F46" s="3">
        <v>1346</v>
      </c>
      <c r="G46" s="4">
        <v>46242</v>
      </c>
      <c r="H46" s="4"/>
      <c r="I46" s="3" t="s">
        <v>34</v>
      </c>
      <c r="J46" s="3" t="s">
        <v>28</v>
      </c>
      <c r="K46" s="3">
        <v>20</v>
      </c>
      <c r="L46" s="3">
        <v>200</v>
      </c>
      <c r="M46" s="3" t="s">
        <v>32</v>
      </c>
      <c r="N46" s="4">
        <v>46256</v>
      </c>
      <c r="O46" s="4">
        <v>46262</v>
      </c>
      <c r="P46" s="3" t="s">
        <v>219</v>
      </c>
      <c r="Q46" s="3" t="s">
        <v>29</v>
      </c>
      <c r="R46" s="3" t="s">
        <v>26</v>
      </c>
      <c r="S46" s="3"/>
      <c r="T46" s="3"/>
      <c r="U46" s="5" t="s">
        <v>308</v>
      </c>
      <c r="V46" s="3">
        <v>709</v>
      </c>
      <c r="W46" s="3">
        <v>0</v>
      </c>
      <c r="X46" s="3" t="s">
        <v>97</v>
      </c>
      <c r="Y46" s="3" t="s">
        <v>97</v>
      </c>
      <c r="Z46" s="4">
        <v>46254</v>
      </c>
      <c r="AA46" s="3" t="s">
        <v>591</v>
      </c>
      <c r="AB46" s="3" t="s">
        <v>592</v>
      </c>
      <c r="AC46" s="3" t="s">
        <v>620</v>
      </c>
      <c r="AD46" s="9" t="s">
        <v>633</v>
      </c>
    </row>
    <row r="47" spans="1:30" x14ac:dyDescent="0.3">
      <c r="A47" s="8">
        <f t="shared" si="0"/>
        <v>45</v>
      </c>
      <c r="B47" s="3" t="s">
        <v>21</v>
      </c>
      <c r="C47" s="3" t="s">
        <v>311</v>
      </c>
      <c r="D47" s="3" t="s">
        <v>152</v>
      </c>
      <c r="E47" s="3" t="s">
        <v>312</v>
      </c>
      <c r="F47" s="3">
        <v>1347</v>
      </c>
      <c r="G47" s="4">
        <v>46242</v>
      </c>
      <c r="H47" s="4"/>
      <c r="I47" s="3" t="s">
        <v>24</v>
      </c>
      <c r="J47" s="3" t="s">
        <v>28</v>
      </c>
      <c r="K47" s="3">
        <v>28</v>
      </c>
      <c r="L47" s="3">
        <v>336</v>
      </c>
      <c r="M47" s="3" t="s">
        <v>32</v>
      </c>
      <c r="N47" s="4">
        <v>46254</v>
      </c>
      <c r="O47" s="4">
        <v>46254</v>
      </c>
      <c r="P47" s="3" t="s">
        <v>219</v>
      </c>
      <c r="Q47" s="3" t="s">
        <v>29</v>
      </c>
      <c r="R47" s="3" t="s">
        <v>26</v>
      </c>
      <c r="S47" s="3"/>
      <c r="T47" s="3"/>
      <c r="U47" s="5" t="s">
        <v>308</v>
      </c>
      <c r="V47" s="3">
        <v>709</v>
      </c>
      <c r="W47" s="3">
        <v>0</v>
      </c>
      <c r="X47" s="3" t="s">
        <v>97</v>
      </c>
      <c r="Y47" s="3" t="s">
        <v>97</v>
      </c>
      <c r="Z47" s="4">
        <v>46253</v>
      </c>
      <c r="AA47" s="3" t="s">
        <v>584</v>
      </c>
      <c r="AB47" s="3" t="s">
        <v>583</v>
      </c>
      <c r="AC47" s="3" t="s">
        <v>611</v>
      </c>
      <c r="AD47" s="9" t="s">
        <v>633</v>
      </c>
    </row>
    <row r="48" spans="1:30" x14ac:dyDescent="0.3">
      <c r="A48" s="8">
        <f t="shared" si="0"/>
        <v>46</v>
      </c>
      <c r="B48" s="3" t="s">
        <v>21</v>
      </c>
      <c r="C48" s="3" t="s">
        <v>311</v>
      </c>
      <c r="D48" s="3" t="s">
        <v>152</v>
      </c>
      <c r="E48" s="3" t="s">
        <v>313</v>
      </c>
      <c r="F48" s="3">
        <v>1348</v>
      </c>
      <c r="G48" s="4">
        <v>46242</v>
      </c>
      <c r="H48" s="4"/>
      <c r="I48" s="3" t="s">
        <v>31</v>
      </c>
      <c r="J48" s="3" t="s">
        <v>28</v>
      </c>
      <c r="K48" s="3">
        <v>33</v>
      </c>
      <c r="L48" s="3">
        <v>660</v>
      </c>
      <c r="M48" s="3" t="s">
        <v>32</v>
      </c>
      <c r="N48" s="4">
        <v>46254</v>
      </c>
      <c r="O48" s="4">
        <v>46254</v>
      </c>
      <c r="P48" s="3" t="s">
        <v>219</v>
      </c>
      <c r="Q48" s="3" t="s">
        <v>29</v>
      </c>
      <c r="R48" s="3" t="s">
        <v>26</v>
      </c>
      <c r="S48" s="3"/>
      <c r="T48" s="3"/>
      <c r="U48" s="5" t="s">
        <v>308</v>
      </c>
      <c r="V48" s="3">
        <v>709</v>
      </c>
      <c r="W48" s="3">
        <v>0</v>
      </c>
      <c r="X48" s="3" t="s">
        <v>97</v>
      </c>
      <c r="Y48" s="3" t="s">
        <v>97</v>
      </c>
      <c r="Z48" s="4">
        <v>46253</v>
      </c>
      <c r="AA48" s="3" t="s">
        <v>584</v>
      </c>
      <c r="AB48" s="3" t="s">
        <v>583</v>
      </c>
      <c r="AC48" s="3" t="s">
        <v>611</v>
      </c>
      <c r="AD48" s="9" t="s">
        <v>633</v>
      </c>
    </row>
    <row r="49" spans="1:30" ht="15" customHeight="1" x14ac:dyDescent="0.3">
      <c r="A49" s="8">
        <f t="shared" si="0"/>
        <v>47</v>
      </c>
      <c r="B49" s="3" t="s">
        <v>21</v>
      </c>
      <c r="C49" s="3" t="s">
        <v>314</v>
      </c>
      <c r="D49" s="3" t="s">
        <v>315</v>
      </c>
      <c r="E49" s="3" t="s">
        <v>316</v>
      </c>
      <c r="F49" s="3">
        <v>1349</v>
      </c>
      <c r="G49" s="4">
        <v>46242</v>
      </c>
      <c r="H49" s="4"/>
      <c r="I49" s="3" t="s">
        <v>34</v>
      </c>
      <c r="J49" s="3" t="s">
        <v>28</v>
      </c>
      <c r="K49" s="3">
        <v>10</v>
      </c>
      <c r="L49" s="3">
        <v>100</v>
      </c>
      <c r="M49" s="3" t="s">
        <v>32</v>
      </c>
      <c r="N49" s="4">
        <v>46262</v>
      </c>
      <c r="O49" s="4">
        <v>46254</v>
      </c>
      <c r="P49" s="3" t="s">
        <v>219</v>
      </c>
      <c r="Q49" s="3" t="s">
        <v>29</v>
      </c>
      <c r="R49" s="3" t="s">
        <v>26</v>
      </c>
      <c r="S49" s="3"/>
      <c r="T49" s="3"/>
      <c r="U49" s="5" t="s">
        <v>308</v>
      </c>
      <c r="V49" s="3">
        <v>709</v>
      </c>
      <c r="W49" s="3">
        <v>0</v>
      </c>
      <c r="X49" s="3" t="s">
        <v>97</v>
      </c>
      <c r="Y49" s="3" t="s">
        <v>97</v>
      </c>
      <c r="Z49" s="4">
        <v>46253</v>
      </c>
      <c r="AA49" s="3" t="s">
        <v>363</v>
      </c>
      <c r="AB49" s="3" t="s">
        <v>472</v>
      </c>
      <c r="AC49" s="3" t="s">
        <v>631</v>
      </c>
      <c r="AD49" s="9" t="s">
        <v>633</v>
      </c>
    </row>
    <row r="50" spans="1:30" ht="15" customHeight="1" x14ac:dyDescent="0.3">
      <c r="A50" s="8">
        <f t="shared" si="0"/>
        <v>48</v>
      </c>
      <c r="B50" s="3" t="s">
        <v>21</v>
      </c>
      <c r="C50" s="3" t="s">
        <v>317</v>
      </c>
      <c r="D50" s="3" t="s">
        <v>318</v>
      </c>
      <c r="E50" s="3" t="s">
        <v>319</v>
      </c>
      <c r="F50" s="3">
        <v>1350</v>
      </c>
      <c r="G50" s="4">
        <v>46242</v>
      </c>
      <c r="H50" s="4"/>
      <c r="I50" s="3" t="s">
        <v>31</v>
      </c>
      <c r="J50" s="3" t="s">
        <v>28</v>
      </c>
      <c r="K50" s="3">
        <v>6</v>
      </c>
      <c r="L50" s="3">
        <v>120</v>
      </c>
      <c r="M50" s="3" t="s">
        <v>32</v>
      </c>
      <c r="N50" s="4">
        <v>46262</v>
      </c>
      <c r="O50" s="4">
        <v>46256</v>
      </c>
      <c r="P50" s="3" t="s">
        <v>219</v>
      </c>
      <c r="Q50" s="3" t="s">
        <v>29</v>
      </c>
      <c r="R50" s="3" t="s">
        <v>26</v>
      </c>
      <c r="S50" s="3"/>
      <c r="T50" s="3"/>
      <c r="U50" s="5" t="s">
        <v>308</v>
      </c>
      <c r="V50" s="3">
        <v>709</v>
      </c>
      <c r="W50" s="3">
        <v>0</v>
      </c>
      <c r="X50" s="3" t="s">
        <v>97</v>
      </c>
      <c r="Y50" s="3" t="s">
        <v>97</v>
      </c>
      <c r="Z50" s="4">
        <v>46253</v>
      </c>
      <c r="AA50" s="3" t="s">
        <v>363</v>
      </c>
      <c r="AB50" s="3" t="s">
        <v>472</v>
      </c>
      <c r="AC50" s="3" t="s">
        <v>631</v>
      </c>
      <c r="AD50" s="9" t="s">
        <v>633</v>
      </c>
    </row>
    <row r="51" spans="1:30" ht="15" customHeight="1" x14ac:dyDescent="0.3">
      <c r="A51" s="8">
        <f t="shared" si="0"/>
        <v>49</v>
      </c>
      <c r="B51" s="3" t="s">
        <v>21</v>
      </c>
      <c r="C51" s="3" t="s">
        <v>229</v>
      </c>
      <c r="D51" s="3" t="s">
        <v>147</v>
      </c>
      <c r="E51" s="3" t="s">
        <v>320</v>
      </c>
      <c r="F51" s="3">
        <v>1351</v>
      </c>
      <c r="G51" s="4">
        <v>46242</v>
      </c>
      <c r="H51" s="4"/>
      <c r="I51" s="3" t="s">
        <v>34</v>
      </c>
      <c r="J51" s="3" t="s">
        <v>28</v>
      </c>
      <c r="K51" s="3">
        <v>20</v>
      </c>
      <c r="L51" s="3">
        <v>200</v>
      </c>
      <c r="M51" s="3" t="s">
        <v>32</v>
      </c>
      <c r="N51" s="4">
        <v>46246</v>
      </c>
      <c r="O51" s="4">
        <v>46247</v>
      </c>
      <c r="P51" s="3" t="s">
        <v>219</v>
      </c>
      <c r="Q51" s="3" t="s">
        <v>29</v>
      </c>
      <c r="R51" s="3" t="s">
        <v>26</v>
      </c>
      <c r="S51" s="3"/>
      <c r="T51" s="3"/>
      <c r="U51" s="5" t="s">
        <v>308</v>
      </c>
      <c r="V51" s="3">
        <v>709</v>
      </c>
      <c r="W51" s="3">
        <v>0</v>
      </c>
      <c r="X51" s="3" t="s">
        <v>97</v>
      </c>
      <c r="Y51" s="3" t="s">
        <v>97</v>
      </c>
      <c r="Z51" s="4">
        <v>46243</v>
      </c>
      <c r="AA51" s="3" t="s">
        <v>64</v>
      </c>
      <c r="AB51" s="3" t="s">
        <v>479</v>
      </c>
      <c r="AC51" s="3" t="s">
        <v>614</v>
      </c>
      <c r="AD51" s="9" t="s">
        <v>633</v>
      </c>
    </row>
    <row r="52" spans="1:30" ht="15" customHeight="1" x14ac:dyDescent="0.3">
      <c r="A52" s="8">
        <f t="shared" si="0"/>
        <v>50</v>
      </c>
      <c r="B52" s="3" t="s">
        <v>21</v>
      </c>
      <c r="C52" s="3" t="s">
        <v>229</v>
      </c>
      <c r="D52" s="3" t="s">
        <v>147</v>
      </c>
      <c r="E52" s="3" t="s">
        <v>321</v>
      </c>
      <c r="F52" s="3">
        <v>1352</v>
      </c>
      <c r="G52" s="4">
        <v>46242</v>
      </c>
      <c r="H52" s="4"/>
      <c r="I52" s="3" t="s">
        <v>31</v>
      </c>
      <c r="J52" s="3" t="s">
        <v>28</v>
      </c>
      <c r="K52" s="3">
        <v>6</v>
      </c>
      <c r="L52" s="3">
        <v>120</v>
      </c>
      <c r="M52" s="3" t="s">
        <v>32</v>
      </c>
      <c r="N52" s="4">
        <v>46246</v>
      </c>
      <c r="O52" s="4">
        <v>46247</v>
      </c>
      <c r="P52" s="3" t="s">
        <v>219</v>
      </c>
      <c r="Q52" s="3" t="s">
        <v>29</v>
      </c>
      <c r="R52" s="3" t="s">
        <v>26</v>
      </c>
      <c r="S52" s="3"/>
      <c r="T52" s="3"/>
      <c r="U52" s="5" t="s">
        <v>308</v>
      </c>
      <c r="V52" s="3">
        <v>709</v>
      </c>
      <c r="W52" s="3">
        <v>0</v>
      </c>
      <c r="X52" s="3" t="s">
        <v>97</v>
      </c>
      <c r="Y52" s="3" t="s">
        <v>97</v>
      </c>
      <c r="Z52" s="4">
        <v>46243</v>
      </c>
      <c r="AA52" s="3" t="s">
        <v>64</v>
      </c>
      <c r="AB52" s="3" t="s">
        <v>479</v>
      </c>
      <c r="AC52" s="3" t="s">
        <v>614</v>
      </c>
      <c r="AD52" s="9" t="s">
        <v>633</v>
      </c>
    </row>
    <row r="53" spans="1:30" ht="15" customHeight="1" x14ac:dyDescent="0.3">
      <c r="A53" s="8">
        <f t="shared" si="0"/>
        <v>51</v>
      </c>
      <c r="B53" s="3" t="s">
        <v>21</v>
      </c>
      <c r="C53" s="3" t="s">
        <v>229</v>
      </c>
      <c r="D53" s="3" t="s">
        <v>147</v>
      </c>
      <c r="E53" s="3" t="s">
        <v>322</v>
      </c>
      <c r="F53" s="3">
        <v>1353</v>
      </c>
      <c r="G53" s="4">
        <v>46242</v>
      </c>
      <c r="H53" s="4"/>
      <c r="I53" s="3" t="s">
        <v>24</v>
      </c>
      <c r="J53" s="3" t="s">
        <v>28</v>
      </c>
      <c r="K53" s="3">
        <v>4</v>
      </c>
      <c r="L53" s="3">
        <v>48</v>
      </c>
      <c r="M53" s="3" t="s">
        <v>32</v>
      </c>
      <c r="N53" s="4">
        <v>46246</v>
      </c>
      <c r="O53" s="4">
        <v>46247</v>
      </c>
      <c r="P53" s="3" t="s">
        <v>219</v>
      </c>
      <c r="Q53" s="3" t="s">
        <v>29</v>
      </c>
      <c r="R53" s="3" t="s">
        <v>26</v>
      </c>
      <c r="S53" s="3"/>
      <c r="T53" s="3"/>
      <c r="U53" s="5" t="s">
        <v>308</v>
      </c>
      <c r="V53" s="3">
        <v>709</v>
      </c>
      <c r="W53" s="3">
        <v>0</v>
      </c>
      <c r="X53" s="3" t="s">
        <v>97</v>
      </c>
      <c r="Y53" s="3" t="s">
        <v>97</v>
      </c>
      <c r="Z53" s="4">
        <v>46243</v>
      </c>
      <c r="AA53" s="3" t="s">
        <v>64</v>
      </c>
      <c r="AB53" s="3" t="s">
        <v>479</v>
      </c>
      <c r="AC53" s="3" t="s">
        <v>614</v>
      </c>
      <c r="AD53" s="9" t="s">
        <v>633</v>
      </c>
    </row>
    <row r="54" spans="1:30" x14ac:dyDescent="0.3">
      <c r="A54" s="8">
        <f t="shared" si="0"/>
        <v>52</v>
      </c>
      <c r="B54" s="3" t="s">
        <v>21</v>
      </c>
      <c r="C54" s="3" t="s">
        <v>267</v>
      </c>
      <c r="D54" s="3" t="s">
        <v>152</v>
      </c>
      <c r="E54" s="3" t="s">
        <v>323</v>
      </c>
      <c r="F54" s="3">
        <v>1354</v>
      </c>
      <c r="G54" s="4">
        <v>46242</v>
      </c>
      <c r="H54" s="4"/>
      <c r="I54" s="3" t="s">
        <v>34</v>
      </c>
      <c r="J54" s="3" t="s">
        <v>28</v>
      </c>
      <c r="K54" s="3">
        <v>50</v>
      </c>
      <c r="L54" s="3">
        <v>500</v>
      </c>
      <c r="M54" s="3" t="s">
        <v>32</v>
      </c>
      <c r="N54" s="4">
        <v>46254</v>
      </c>
      <c r="O54" s="4">
        <v>46254</v>
      </c>
      <c r="P54" s="3" t="s">
        <v>219</v>
      </c>
      <c r="Q54" s="3" t="s">
        <v>29</v>
      </c>
      <c r="R54" s="3" t="s">
        <v>26</v>
      </c>
      <c r="S54" s="3"/>
      <c r="T54" s="3"/>
      <c r="U54" s="5" t="s">
        <v>308</v>
      </c>
      <c r="V54" s="3">
        <v>709</v>
      </c>
      <c r="W54" s="3">
        <v>0</v>
      </c>
      <c r="X54" s="3" t="s">
        <v>97</v>
      </c>
      <c r="Y54" s="3" t="s">
        <v>97</v>
      </c>
      <c r="Z54" s="4">
        <v>46254</v>
      </c>
      <c r="AA54" s="3" t="s">
        <v>584</v>
      </c>
      <c r="AB54" s="3" t="s">
        <v>583</v>
      </c>
      <c r="AC54" s="3" t="s">
        <v>611</v>
      </c>
      <c r="AD54" s="9" t="s">
        <v>633</v>
      </c>
    </row>
    <row r="55" spans="1:30" ht="15" hidden="1" customHeight="1" x14ac:dyDescent="0.3">
      <c r="A55" s="8">
        <f t="shared" si="0"/>
        <v>53</v>
      </c>
      <c r="B55" s="3" t="s">
        <v>21</v>
      </c>
      <c r="C55" s="3" t="s">
        <v>324</v>
      </c>
      <c r="D55" s="3" t="s">
        <v>325</v>
      </c>
      <c r="E55" s="3" t="s">
        <v>326</v>
      </c>
      <c r="F55" s="3">
        <v>1355</v>
      </c>
      <c r="G55" s="4">
        <v>46242</v>
      </c>
      <c r="H55" s="4"/>
      <c r="I55" s="3" t="s">
        <v>34</v>
      </c>
      <c r="J55" s="3" t="s">
        <v>28</v>
      </c>
      <c r="K55" s="3">
        <v>10</v>
      </c>
      <c r="L55" s="3">
        <v>100</v>
      </c>
      <c r="M55" s="3" t="s">
        <v>32</v>
      </c>
      <c r="N55" s="4">
        <v>46249</v>
      </c>
      <c r="O55" s="4">
        <v>46252</v>
      </c>
      <c r="P55" s="3" t="s">
        <v>650</v>
      </c>
      <c r="Q55" s="3" t="s">
        <v>29</v>
      </c>
      <c r="R55" s="3" t="s">
        <v>26</v>
      </c>
      <c r="S55" s="3"/>
      <c r="T55" s="3"/>
      <c r="U55" s="5" t="s">
        <v>308</v>
      </c>
      <c r="V55" s="3">
        <v>709</v>
      </c>
      <c r="W55" s="3">
        <v>0</v>
      </c>
      <c r="X55" s="3" t="s">
        <v>650</v>
      </c>
      <c r="Y55" s="3" t="s">
        <v>650</v>
      </c>
      <c r="Z55" s="4">
        <v>46249</v>
      </c>
      <c r="AA55" s="5" t="s">
        <v>155</v>
      </c>
      <c r="AB55" s="3" t="s">
        <v>469</v>
      </c>
      <c r="AC55" s="3"/>
      <c r="AD55" s="3" t="s">
        <v>650</v>
      </c>
    </row>
    <row r="56" spans="1:30" ht="15" customHeight="1" x14ac:dyDescent="0.3">
      <c r="A56" s="8">
        <f t="shared" si="0"/>
        <v>54</v>
      </c>
      <c r="B56" s="3" t="s">
        <v>21</v>
      </c>
      <c r="C56" s="3" t="s">
        <v>327</v>
      </c>
      <c r="D56" s="3" t="s">
        <v>304</v>
      </c>
      <c r="E56" s="3" t="s">
        <v>328</v>
      </c>
      <c r="F56" s="18">
        <v>1356</v>
      </c>
      <c r="G56" s="4">
        <v>46242</v>
      </c>
      <c r="H56" s="4"/>
      <c r="I56" s="3" t="s">
        <v>34</v>
      </c>
      <c r="J56" s="3" t="s">
        <v>28</v>
      </c>
      <c r="K56" s="3">
        <v>30</v>
      </c>
      <c r="L56" s="3">
        <v>300</v>
      </c>
      <c r="M56" s="3" t="s">
        <v>32</v>
      </c>
      <c r="N56" s="4">
        <v>46249</v>
      </c>
      <c r="O56" s="4">
        <v>46252</v>
      </c>
      <c r="P56" s="3" t="s">
        <v>219</v>
      </c>
      <c r="Q56" s="3" t="s">
        <v>29</v>
      </c>
      <c r="R56" s="3" t="s">
        <v>26</v>
      </c>
      <c r="S56" s="3"/>
      <c r="T56" s="3"/>
      <c r="U56" s="5" t="s">
        <v>308</v>
      </c>
      <c r="V56" s="3">
        <v>709</v>
      </c>
      <c r="W56" s="3">
        <v>0</v>
      </c>
      <c r="X56" s="3" t="s">
        <v>97</v>
      </c>
      <c r="Y56" s="3" t="s">
        <v>97</v>
      </c>
      <c r="Z56" s="4">
        <v>46249</v>
      </c>
      <c r="AA56" s="5" t="s">
        <v>155</v>
      </c>
      <c r="AB56" s="3" t="s">
        <v>469</v>
      </c>
      <c r="AC56" s="3"/>
      <c r="AD56" s="9" t="s">
        <v>633</v>
      </c>
    </row>
    <row r="57" spans="1:30" ht="15" hidden="1" customHeight="1" x14ac:dyDescent="0.3">
      <c r="A57" s="8">
        <f t="shared" si="0"/>
        <v>55</v>
      </c>
      <c r="B57" s="3" t="s">
        <v>21</v>
      </c>
      <c r="C57" s="3" t="s">
        <v>329</v>
      </c>
      <c r="D57" s="3" t="s">
        <v>48</v>
      </c>
      <c r="E57" s="3" t="s">
        <v>330</v>
      </c>
      <c r="F57" s="3">
        <v>1357</v>
      </c>
      <c r="G57" s="4">
        <v>46242</v>
      </c>
      <c r="H57" s="4"/>
      <c r="I57" s="3" t="s">
        <v>331</v>
      </c>
      <c r="J57" s="3" t="s">
        <v>28</v>
      </c>
      <c r="K57" s="3">
        <v>28</v>
      </c>
      <c r="L57" s="3">
        <f>K57*20</f>
        <v>560</v>
      </c>
      <c r="M57" s="3" t="s">
        <v>32</v>
      </c>
      <c r="N57" s="4">
        <v>46259</v>
      </c>
      <c r="O57" s="4">
        <v>46259</v>
      </c>
      <c r="P57" s="3" t="s">
        <v>637</v>
      </c>
      <c r="Q57" s="3" t="s">
        <v>29</v>
      </c>
      <c r="R57" s="3" t="s">
        <v>26</v>
      </c>
      <c r="S57" s="3"/>
      <c r="T57" s="3"/>
      <c r="U57" s="5" t="s">
        <v>308</v>
      </c>
      <c r="V57" s="3">
        <v>709</v>
      </c>
      <c r="W57" s="3">
        <v>0</v>
      </c>
      <c r="X57" s="3" t="s">
        <v>637</v>
      </c>
      <c r="Y57" s="3" t="s">
        <v>637</v>
      </c>
      <c r="Z57" s="4">
        <v>46259</v>
      </c>
      <c r="AA57" s="3" t="s">
        <v>638</v>
      </c>
      <c r="AB57" s="3" t="s">
        <v>639</v>
      </c>
      <c r="AC57" s="3"/>
      <c r="AD57" s="9" t="s">
        <v>643</v>
      </c>
    </row>
    <row r="58" spans="1:30" ht="15" customHeight="1" x14ac:dyDescent="0.3">
      <c r="A58" s="8">
        <f t="shared" si="0"/>
        <v>56</v>
      </c>
      <c r="B58" s="3" t="s">
        <v>21</v>
      </c>
      <c r="C58" s="3" t="s">
        <v>332</v>
      </c>
      <c r="D58" s="3" t="s">
        <v>333</v>
      </c>
      <c r="E58" s="3" t="s">
        <v>334</v>
      </c>
      <c r="F58" s="3">
        <v>1358</v>
      </c>
      <c r="G58" s="4">
        <v>46242</v>
      </c>
      <c r="H58" s="4"/>
      <c r="I58" s="3" t="s">
        <v>335</v>
      </c>
      <c r="J58" s="3" t="s">
        <v>28</v>
      </c>
      <c r="K58" s="3">
        <v>50</v>
      </c>
      <c r="L58" s="3">
        <v>1000</v>
      </c>
      <c r="M58" s="3" t="s">
        <v>32</v>
      </c>
      <c r="N58" s="4">
        <v>46262</v>
      </c>
      <c r="O58" s="4">
        <v>46259</v>
      </c>
      <c r="P58" s="3" t="s">
        <v>219</v>
      </c>
      <c r="Q58" s="3" t="s">
        <v>29</v>
      </c>
      <c r="R58" s="3" t="s">
        <v>26</v>
      </c>
      <c r="S58" s="3"/>
      <c r="T58" s="3"/>
      <c r="U58" s="5" t="s">
        <v>308</v>
      </c>
      <c r="V58" s="3">
        <v>709</v>
      </c>
      <c r="W58" s="3">
        <v>0</v>
      </c>
      <c r="X58" s="3" t="s">
        <v>97</v>
      </c>
      <c r="Y58" s="3" t="s">
        <v>97</v>
      </c>
      <c r="Z58" s="4">
        <v>46253</v>
      </c>
      <c r="AA58" s="3" t="s">
        <v>597</v>
      </c>
      <c r="AB58" s="3" t="s">
        <v>609</v>
      </c>
      <c r="AC58" s="3" t="s">
        <v>627</v>
      </c>
      <c r="AD58" s="9" t="s">
        <v>633</v>
      </c>
    </row>
    <row r="59" spans="1:30" ht="15" customHeight="1" x14ac:dyDescent="0.3">
      <c r="A59" s="8">
        <f t="shared" si="0"/>
        <v>57</v>
      </c>
      <c r="B59" s="3" t="s">
        <v>21</v>
      </c>
      <c r="C59" s="3" t="s">
        <v>332</v>
      </c>
      <c r="D59" s="3" t="s">
        <v>333</v>
      </c>
      <c r="E59" s="3" t="s">
        <v>334</v>
      </c>
      <c r="F59" s="3">
        <v>1358</v>
      </c>
      <c r="G59" s="4">
        <v>46242</v>
      </c>
      <c r="H59" s="4"/>
      <c r="I59" s="3" t="s">
        <v>336</v>
      </c>
      <c r="J59" s="3" t="s">
        <v>28</v>
      </c>
      <c r="K59" s="3">
        <v>20</v>
      </c>
      <c r="L59" s="3">
        <v>400</v>
      </c>
      <c r="M59" s="3" t="s">
        <v>32</v>
      </c>
      <c r="N59" s="4">
        <v>46262</v>
      </c>
      <c r="O59" s="4">
        <v>46259</v>
      </c>
      <c r="P59" s="3" t="s">
        <v>219</v>
      </c>
      <c r="Q59" s="3" t="s">
        <v>29</v>
      </c>
      <c r="R59" s="3" t="s">
        <v>26</v>
      </c>
      <c r="S59" s="3"/>
      <c r="T59" s="3"/>
      <c r="U59" s="5" t="s">
        <v>308</v>
      </c>
      <c r="V59" s="3">
        <v>709</v>
      </c>
      <c r="W59" s="3">
        <v>0</v>
      </c>
      <c r="X59" s="3" t="s">
        <v>97</v>
      </c>
      <c r="Y59" s="3" t="s">
        <v>97</v>
      </c>
      <c r="Z59" s="4">
        <v>46253</v>
      </c>
      <c r="AA59" s="3" t="s">
        <v>597</v>
      </c>
      <c r="AB59" s="3" t="s">
        <v>609</v>
      </c>
      <c r="AC59" s="3" t="s">
        <v>627</v>
      </c>
      <c r="AD59" s="9" t="s">
        <v>633</v>
      </c>
    </row>
    <row r="60" spans="1:30" ht="15" customHeight="1" x14ac:dyDescent="0.3">
      <c r="A60" s="8">
        <f t="shared" si="0"/>
        <v>58</v>
      </c>
      <c r="B60" s="3" t="s">
        <v>21</v>
      </c>
      <c r="C60" s="3" t="s">
        <v>332</v>
      </c>
      <c r="D60" s="3" t="s">
        <v>333</v>
      </c>
      <c r="E60" s="3" t="s">
        <v>334</v>
      </c>
      <c r="F60" s="3">
        <v>1358</v>
      </c>
      <c r="G60" s="4">
        <v>46242</v>
      </c>
      <c r="H60" s="4"/>
      <c r="I60" s="3" t="s">
        <v>335</v>
      </c>
      <c r="J60" s="3" t="s">
        <v>28</v>
      </c>
      <c r="K60" s="3">
        <v>3</v>
      </c>
      <c r="L60" s="3">
        <v>60</v>
      </c>
      <c r="M60" s="3" t="s">
        <v>32</v>
      </c>
      <c r="N60" s="4">
        <v>46262</v>
      </c>
      <c r="O60" s="4">
        <v>46259</v>
      </c>
      <c r="P60" s="3" t="s">
        <v>219</v>
      </c>
      <c r="Q60" s="3" t="s">
        <v>29</v>
      </c>
      <c r="R60" s="3" t="s">
        <v>26</v>
      </c>
      <c r="S60" s="3"/>
      <c r="T60" s="3"/>
      <c r="U60" s="5" t="s">
        <v>308</v>
      </c>
      <c r="V60" s="3">
        <v>709</v>
      </c>
      <c r="W60" s="3">
        <v>0</v>
      </c>
      <c r="X60" s="3" t="s">
        <v>97</v>
      </c>
      <c r="Y60" s="3" t="s">
        <v>97</v>
      </c>
      <c r="Z60" s="4">
        <v>46253</v>
      </c>
      <c r="AA60" s="3" t="s">
        <v>597</v>
      </c>
      <c r="AB60" s="3" t="s">
        <v>609</v>
      </c>
      <c r="AC60" s="3" t="s">
        <v>627</v>
      </c>
      <c r="AD60" s="9" t="s">
        <v>633</v>
      </c>
    </row>
    <row r="61" spans="1:30" ht="15" customHeight="1" x14ac:dyDescent="0.3">
      <c r="A61" s="8">
        <f t="shared" si="0"/>
        <v>59</v>
      </c>
      <c r="B61" s="3" t="s">
        <v>21</v>
      </c>
      <c r="C61" s="3" t="s">
        <v>332</v>
      </c>
      <c r="D61" s="3" t="s">
        <v>333</v>
      </c>
      <c r="E61" s="3" t="s">
        <v>334</v>
      </c>
      <c r="F61" s="3">
        <v>1358</v>
      </c>
      <c r="G61" s="4">
        <v>46242</v>
      </c>
      <c r="H61" s="4"/>
      <c r="I61" s="3" t="s">
        <v>336</v>
      </c>
      <c r="J61" s="3" t="s">
        <v>28</v>
      </c>
      <c r="K61" s="3">
        <v>2</v>
      </c>
      <c r="L61" s="3">
        <v>40</v>
      </c>
      <c r="M61" s="3" t="s">
        <v>32</v>
      </c>
      <c r="N61" s="4">
        <v>46262</v>
      </c>
      <c r="O61" s="4">
        <v>46259</v>
      </c>
      <c r="P61" s="3" t="s">
        <v>219</v>
      </c>
      <c r="Q61" s="3" t="s">
        <v>29</v>
      </c>
      <c r="R61" s="3" t="s">
        <v>26</v>
      </c>
      <c r="S61" s="3"/>
      <c r="T61" s="3"/>
      <c r="U61" s="5" t="s">
        <v>308</v>
      </c>
      <c r="V61" s="3">
        <v>709</v>
      </c>
      <c r="W61" s="3">
        <v>0</v>
      </c>
      <c r="X61" s="3" t="s">
        <v>97</v>
      </c>
      <c r="Y61" s="3" t="s">
        <v>97</v>
      </c>
      <c r="Z61" s="4">
        <v>46253</v>
      </c>
      <c r="AA61" s="3" t="s">
        <v>597</v>
      </c>
      <c r="AB61" s="3" t="s">
        <v>609</v>
      </c>
      <c r="AC61" s="3" t="s">
        <v>627</v>
      </c>
      <c r="AD61" s="9" t="s">
        <v>633</v>
      </c>
    </row>
    <row r="62" spans="1:30" ht="15" hidden="1" customHeight="1" x14ac:dyDescent="0.3">
      <c r="A62" s="8">
        <f t="shared" si="0"/>
        <v>60</v>
      </c>
      <c r="B62" s="3" t="s">
        <v>21</v>
      </c>
      <c r="C62" s="3" t="s">
        <v>337</v>
      </c>
      <c r="D62" s="3" t="s">
        <v>293</v>
      </c>
      <c r="E62" s="3" t="s">
        <v>338</v>
      </c>
      <c r="F62" s="3">
        <v>1359</v>
      </c>
      <c r="G62" s="4">
        <v>46242</v>
      </c>
      <c r="H62" s="4"/>
      <c r="I62" s="3" t="s">
        <v>335</v>
      </c>
      <c r="J62" s="3" t="s">
        <v>28</v>
      </c>
      <c r="K62" s="3">
        <v>50</v>
      </c>
      <c r="L62" s="3">
        <v>1000</v>
      </c>
      <c r="M62" s="3" t="s">
        <v>32</v>
      </c>
      <c r="N62" s="4">
        <v>46262</v>
      </c>
      <c r="O62" s="4">
        <v>46257</v>
      </c>
      <c r="P62" s="3" t="s">
        <v>582</v>
      </c>
      <c r="Q62" s="3" t="s">
        <v>29</v>
      </c>
      <c r="R62" s="3" t="s">
        <v>26</v>
      </c>
      <c r="S62" s="3"/>
      <c r="T62" s="3"/>
      <c r="U62" s="5" t="s">
        <v>308</v>
      </c>
      <c r="V62" s="3">
        <v>709</v>
      </c>
      <c r="W62" s="3">
        <v>0</v>
      </c>
      <c r="X62" s="3" t="s">
        <v>582</v>
      </c>
      <c r="Y62" s="3" t="s">
        <v>582</v>
      </c>
      <c r="Z62" s="4">
        <v>46253</v>
      </c>
      <c r="AA62" s="3" t="s">
        <v>597</v>
      </c>
      <c r="AB62" s="3" t="s">
        <v>609</v>
      </c>
      <c r="AC62" s="3" t="s">
        <v>627</v>
      </c>
      <c r="AD62" s="9" t="s">
        <v>647</v>
      </c>
    </row>
    <row r="63" spans="1:30" ht="15" hidden="1" customHeight="1" x14ac:dyDescent="0.3">
      <c r="A63" s="8">
        <f t="shared" si="0"/>
        <v>61</v>
      </c>
      <c r="B63" s="3" t="s">
        <v>21</v>
      </c>
      <c r="C63" s="3" t="s">
        <v>337</v>
      </c>
      <c r="D63" s="3" t="s">
        <v>293</v>
      </c>
      <c r="E63" s="3" t="s">
        <v>338</v>
      </c>
      <c r="F63" s="3">
        <v>1359</v>
      </c>
      <c r="G63" s="4">
        <v>46242</v>
      </c>
      <c r="H63" s="4"/>
      <c r="I63" s="3" t="s">
        <v>335</v>
      </c>
      <c r="J63" s="3" t="s">
        <v>28</v>
      </c>
      <c r="K63" s="3">
        <v>3</v>
      </c>
      <c r="L63" s="3">
        <v>60</v>
      </c>
      <c r="M63" s="3" t="s">
        <v>32</v>
      </c>
      <c r="N63" s="4">
        <v>46262</v>
      </c>
      <c r="O63" s="4">
        <v>46257</v>
      </c>
      <c r="P63" s="3" t="s">
        <v>582</v>
      </c>
      <c r="Q63" s="3" t="s">
        <v>29</v>
      </c>
      <c r="R63" s="3" t="s">
        <v>26</v>
      </c>
      <c r="S63" s="3"/>
      <c r="T63" s="3"/>
      <c r="U63" s="5" t="s">
        <v>308</v>
      </c>
      <c r="V63" s="3">
        <v>709</v>
      </c>
      <c r="W63" s="3">
        <v>0</v>
      </c>
      <c r="X63" s="3" t="s">
        <v>582</v>
      </c>
      <c r="Y63" s="3" t="s">
        <v>582</v>
      </c>
      <c r="Z63" s="4">
        <v>46253</v>
      </c>
      <c r="AA63" s="3" t="s">
        <v>597</v>
      </c>
      <c r="AB63" s="3" t="s">
        <v>609</v>
      </c>
      <c r="AC63" s="3" t="s">
        <v>627</v>
      </c>
      <c r="AD63" s="9" t="s">
        <v>647</v>
      </c>
    </row>
    <row r="64" spans="1:30" ht="15" customHeight="1" x14ac:dyDescent="0.3">
      <c r="A64" s="8">
        <f t="shared" si="0"/>
        <v>62</v>
      </c>
      <c r="B64" s="3" t="s">
        <v>21</v>
      </c>
      <c r="C64" s="3" t="s">
        <v>339</v>
      </c>
      <c r="D64" s="3" t="s">
        <v>114</v>
      </c>
      <c r="E64" s="3" t="s">
        <v>338</v>
      </c>
      <c r="F64" s="3">
        <v>1360</v>
      </c>
      <c r="G64" s="4">
        <v>46242</v>
      </c>
      <c r="H64" s="4"/>
      <c r="I64" s="3" t="s">
        <v>335</v>
      </c>
      <c r="J64" s="3" t="s">
        <v>28</v>
      </c>
      <c r="K64" s="3">
        <v>30</v>
      </c>
      <c r="L64" s="3">
        <v>600</v>
      </c>
      <c r="M64" s="3" t="s">
        <v>32</v>
      </c>
      <c r="N64" s="4">
        <v>46247</v>
      </c>
      <c r="O64" s="4">
        <v>46246</v>
      </c>
      <c r="P64" s="3" t="s">
        <v>219</v>
      </c>
      <c r="Q64" s="3" t="s">
        <v>29</v>
      </c>
      <c r="R64" s="3" t="s">
        <v>26</v>
      </c>
      <c r="S64" s="3"/>
      <c r="T64" s="3"/>
      <c r="U64" s="5" t="s">
        <v>308</v>
      </c>
      <c r="V64" s="3">
        <v>709</v>
      </c>
      <c r="W64" s="3">
        <v>0</v>
      </c>
      <c r="X64" s="3" t="s">
        <v>97</v>
      </c>
      <c r="Y64" s="3" t="s">
        <v>97</v>
      </c>
      <c r="Z64" s="4">
        <v>46246</v>
      </c>
      <c r="AA64" s="5" t="s">
        <v>308</v>
      </c>
      <c r="AB64" s="3" t="s">
        <v>472</v>
      </c>
      <c r="AC64" s="3" t="s">
        <v>629</v>
      </c>
      <c r="AD64" s="9" t="s">
        <v>633</v>
      </c>
    </row>
    <row r="65" spans="1:30" ht="15" customHeight="1" x14ac:dyDescent="0.3">
      <c r="A65" s="8">
        <f t="shared" si="0"/>
        <v>63</v>
      </c>
      <c r="B65" s="3" t="s">
        <v>21</v>
      </c>
      <c r="C65" s="3" t="s">
        <v>339</v>
      </c>
      <c r="D65" s="3" t="s">
        <v>114</v>
      </c>
      <c r="E65" s="3" t="s">
        <v>338</v>
      </c>
      <c r="F65" s="3">
        <v>1360</v>
      </c>
      <c r="G65" s="4">
        <v>46242</v>
      </c>
      <c r="H65" s="4"/>
      <c r="I65" s="3" t="s">
        <v>335</v>
      </c>
      <c r="J65" s="3" t="s">
        <v>28</v>
      </c>
      <c r="K65" s="3">
        <v>1</v>
      </c>
      <c r="L65" s="3">
        <v>20</v>
      </c>
      <c r="M65" s="3" t="s">
        <v>32</v>
      </c>
      <c r="N65" s="4">
        <v>46247</v>
      </c>
      <c r="O65" s="4">
        <v>46246</v>
      </c>
      <c r="P65" s="3" t="s">
        <v>219</v>
      </c>
      <c r="Q65" s="3" t="s">
        <v>29</v>
      </c>
      <c r="R65" s="3" t="s">
        <v>26</v>
      </c>
      <c r="S65" s="3"/>
      <c r="T65" s="3"/>
      <c r="U65" s="5" t="s">
        <v>308</v>
      </c>
      <c r="V65" s="3">
        <v>709</v>
      </c>
      <c r="W65" s="3">
        <v>0</v>
      </c>
      <c r="X65" s="3" t="s">
        <v>97</v>
      </c>
      <c r="Y65" s="3" t="s">
        <v>97</v>
      </c>
      <c r="Z65" s="4">
        <v>46246</v>
      </c>
      <c r="AA65" s="5" t="s">
        <v>308</v>
      </c>
      <c r="AB65" s="3" t="s">
        <v>472</v>
      </c>
      <c r="AC65" s="3" t="s">
        <v>629</v>
      </c>
      <c r="AD65" s="9" t="s">
        <v>633</v>
      </c>
    </row>
    <row r="66" spans="1:30" ht="15" customHeight="1" x14ac:dyDescent="0.3">
      <c r="A66" s="8">
        <f t="shared" si="0"/>
        <v>64</v>
      </c>
      <c r="B66" s="3" t="s">
        <v>21</v>
      </c>
      <c r="C66" s="3" t="s">
        <v>340</v>
      </c>
      <c r="D66" s="3" t="s">
        <v>341</v>
      </c>
      <c r="E66" s="3" t="s">
        <v>342</v>
      </c>
      <c r="F66" s="3">
        <v>1361</v>
      </c>
      <c r="G66" s="4">
        <v>46242</v>
      </c>
      <c r="H66" s="4"/>
      <c r="I66" s="3" t="s">
        <v>335</v>
      </c>
      <c r="J66" s="3" t="s">
        <v>28</v>
      </c>
      <c r="K66" s="3">
        <v>100</v>
      </c>
      <c r="L66" s="3">
        <v>2000</v>
      </c>
      <c r="M66" s="3" t="s">
        <v>32</v>
      </c>
      <c r="N66" s="4">
        <v>46262</v>
      </c>
      <c r="O66" s="4">
        <v>46257</v>
      </c>
      <c r="P66" s="3" t="s">
        <v>219</v>
      </c>
      <c r="Q66" s="3" t="s">
        <v>29</v>
      </c>
      <c r="R66" s="3" t="s">
        <v>26</v>
      </c>
      <c r="S66" s="3"/>
      <c r="T66" s="3"/>
      <c r="U66" s="5" t="s">
        <v>308</v>
      </c>
      <c r="V66" s="3">
        <v>709</v>
      </c>
      <c r="W66" s="3">
        <v>0</v>
      </c>
      <c r="X66" s="3" t="s">
        <v>97</v>
      </c>
      <c r="Y66" s="3" t="s">
        <v>97</v>
      </c>
      <c r="Z66" s="4">
        <v>46253</v>
      </c>
      <c r="AA66" s="3" t="s">
        <v>597</v>
      </c>
      <c r="AB66" s="3" t="s">
        <v>609</v>
      </c>
      <c r="AC66" s="3" t="s">
        <v>627</v>
      </c>
      <c r="AD66" s="9" t="s">
        <v>633</v>
      </c>
    </row>
    <row r="67" spans="1:30" ht="15" customHeight="1" x14ac:dyDescent="0.3">
      <c r="A67" s="8">
        <f t="shared" si="0"/>
        <v>65</v>
      </c>
      <c r="B67" s="3" t="s">
        <v>21</v>
      </c>
      <c r="C67" s="3" t="s">
        <v>340</v>
      </c>
      <c r="D67" s="3" t="s">
        <v>341</v>
      </c>
      <c r="E67" s="3" t="s">
        <v>342</v>
      </c>
      <c r="F67" s="3">
        <v>1361</v>
      </c>
      <c r="G67" s="4">
        <v>46242</v>
      </c>
      <c r="H67" s="4"/>
      <c r="I67" s="3" t="s">
        <v>335</v>
      </c>
      <c r="J67" s="3" t="s">
        <v>28</v>
      </c>
      <c r="K67" s="3">
        <v>8</v>
      </c>
      <c r="L67" s="3">
        <v>160</v>
      </c>
      <c r="M67" s="3" t="s">
        <v>32</v>
      </c>
      <c r="N67" s="4">
        <v>46262</v>
      </c>
      <c r="O67" s="4">
        <v>46257</v>
      </c>
      <c r="P67" s="3" t="s">
        <v>219</v>
      </c>
      <c r="Q67" s="3" t="s">
        <v>29</v>
      </c>
      <c r="R67" s="3" t="s">
        <v>26</v>
      </c>
      <c r="S67" s="3"/>
      <c r="T67" s="3"/>
      <c r="U67" s="5" t="s">
        <v>308</v>
      </c>
      <c r="V67" s="3">
        <v>709</v>
      </c>
      <c r="W67" s="3">
        <v>0</v>
      </c>
      <c r="X67" s="3" t="s">
        <v>97</v>
      </c>
      <c r="Y67" s="3" t="s">
        <v>97</v>
      </c>
      <c r="Z67" s="4">
        <v>46253</v>
      </c>
      <c r="AA67" s="3" t="s">
        <v>597</v>
      </c>
      <c r="AB67" s="3" t="s">
        <v>609</v>
      </c>
      <c r="AC67" s="3" t="s">
        <v>627</v>
      </c>
      <c r="AD67" s="9" t="s">
        <v>633</v>
      </c>
    </row>
    <row r="68" spans="1:30" ht="15" customHeight="1" x14ac:dyDescent="0.3">
      <c r="A68" s="8">
        <f t="shared" si="0"/>
        <v>66</v>
      </c>
      <c r="B68" s="3" t="s">
        <v>21</v>
      </c>
      <c r="C68" s="3" t="s">
        <v>57</v>
      </c>
      <c r="D68" s="3" t="s">
        <v>58</v>
      </c>
      <c r="E68" s="3" t="s">
        <v>59</v>
      </c>
      <c r="F68" s="3">
        <v>1401</v>
      </c>
      <c r="G68" s="4">
        <v>46234</v>
      </c>
      <c r="H68" s="4"/>
      <c r="I68" s="3" t="s">
        <v>56</v>
      </c>
      <c r="J68" s="3" t="s">
        <v>28</v>
      </c>
      <c r="K68" s="3">
        <v>39</v>
      </c>
      <c r="L68" s="3">
        <v>780</v>
      </c>
      <c r="M68" s="3" t="s">
        <v>96</v>
      </c>
      <c r="N68" s="4">
        <v>46235</v>
      </c>
      <c r="O68" s="4">
        <v>46235</v>
      </c>
      <c r="P68" s="3" t="s">
        <v>219</v>
      </c>
      <c r="Q68" s="3" t="s">
        <v>29</v>
      </c>
      <c r="R68" s="3" t="s">
        <v>26</v>
      </c>
      <c r="S68" s="3"/>
      <c r="T68" s="3"/>
      <c r="U68" s="3" t="s">
        <v>64</v>
      </c>
      <c r="V68" s="3">
        <v>709</v>
      </c>
      <c r="W68" s="3">
        <v>0</v>
      </c>
      <c r="X68" s="3" t="s">
        <v>97</v>
      </c>
      <c r="Y68" s="3" t="s">
        <v>97</v>
      </c>
      <c r="Z68" s="4">
        <v>46235</v>
      </c>
      <c r="AA68" s="3" t="s">
        <v>64</v>
      </c>
      <c r="AB68" s="3" t="s">
        <v>479</v>
      </c>
      <c r="AC68" s="3" t="s">
        <v>612</v>
      </c>
      <c r="AD68" s="9" t="s">
        <v>633</v>
      </c>
    </row>
    <row r="69" spans="1:30" ht="15" customHeight="1" x14ac:dyDescent="0.3">
      <c r="A69" s="8">
        <f t="shared" ref="A69:A132" si="1">A68+1</f>
        <v>67</v>
      </c>
      <c r="B69" s="3" t="s">
        <v>21</v>
      </c>
      <c r="C69" s="3" t="s">
        <v>57</v>
      </c>
      <c r="D69" s="3" t="s">
        <v>58</v>
      </c>
      <c r="E69" s="3" t="s">
        <v>61</v>
      </c>
      <c r="F69" s="3">
        <v>1402</v>
      </c>
      <c r="G69" s="4">
        <v>46234</v>
      </c>
      <c r="H69" s="4"/>
      <c r="I69" s="3" t="s">
        <v>60</v>
      </c>
      <c r="J69" s="3" t="s">
        <v>28</v>
      </c>
      <c r="K69" s="3">
        <v>300</v>
      </c>
      <c r="L69" s="3">
        <v>3000</v>
      </c>
      <c r="M69" s="3" t="s">
        <v>96</v>
      </c>
      <c r="N69" s="4">
        <v>46235</v>
      </c>
      <c r="O69" s="4">
        <v>46235</v>
      </c>
      <c r="P69" s="3" t="s">
        <v>219</v>
      </c>
      <c r="Q69" s="3" t="s">
        <v>29</v>
      </c>
      <c r="R69" s="3" t="s">
        <v>26</v>
      </c>
      <c r="S69" s="3"/>
      <c r="T69" s="3"/>
      <c r="U69" s="3" t="s">
        <v>64</v>
      </c>
      <c r="V69" s="3">
        <v>709</v>
      </c>
      <c r="W69" s="3">
        <v>0</v>
      </c>
      <c r="X69" s="3" t="s">
        <v>97</v>
      </c>
      <c r="Y69" s="3" t="s">
        <v>97</v>
      </c>
      <c r="Z69" s="4">
        <v>46235</v>
      </c>
      <c r="AA69" s="3" t="s">
        <v>64</v>
      </c>
      <c r="AB69" s="3" t="s">
        <v>479</v>
      </c>
      <c r="AC69" s="3" t="s">
        <v>612</v>
      </c>
      <c r="AD69" s="9" t="s">
        <v>633</v>
      </c>
    </row>
    <row r="70" spans="1:30" ht="15" customHeight="1" x14ac:dyDescent="0.3">
      <c r="A70" s="8">
        <f t="shared" si="1"/>
        <v>68</v>
      </c>
      <c r="B70" s="3" t="s">
        <v>21</v>
      </c>
      <c r="C70" s="3" t="s">
        <v>22</v>
      </c>
      <c r="D70" s="3" t="s">
        <v>441</v>
      </c>
      <c r="E70" s="3" t="s">
        <v>23</v>
      </c>
      <c r="F70" s="3">
        <v>1403</v>
      </c>
      <c r="G70" s="4">
        <v>46234</v>
      </c>
      <c r="H70" s="4"/>
      <c r="I70" s="3" t="s">
        <v>24</v>
      </c>
      <c r="J70" s="3" t="s">
        <v>28</v>
      </c>
      <c r="K70" s="3">
        <v>4</v>
      </c>
      <c r="L70" s="3">
        <v>48</v>
      </c>
      <c r="M70" s="3" t="s">
        <v>32</v>
      </c>
      <c r="N70" s="4">
        <v>46240</v>
      </c>
      <c r="O70" s="4">
        <v>46240</v>
      </c>
      <c r="P70" s="3" t="s">
        <v>219</v>
      </c>
      <c r="Q70" s="3" t="s">
        <v>29</v>
      </c>
      <c r="R70" s="3" t="s">
        <v>26</v>
      </c>
      <c r="S70" s="3"/>
      <c r="T70" s="3"/>
      <c r="U70" s="3" t="s">
        <v>27</v>
      </c>
      <c r="V70" s="3">
        <v>709</v>
      </c>
      <c r="W70" s="3">
        <v>0</v>
      </c>
      <c r="X70" s="3" t="s">
        <v>97</v>
      </c>
      <c r="Y70" s="3" t="s">
        <v>97</v>
      </c>
      <c r="Z70" s="4">
        <v>46240</v>
      </c>
      <c r="AA70" s="3" t="s">
        <v>64</v>
      </c>
      <c r="AB70" s="3" t="s">
        <v>479</v>
      </c>
      <c r="AC70" s="3" t="s">
        <v>613</v>
      </c>
      <c r="AD70" s="9" t="s">
        <v>633</v>
      </c>
    </row>
    <row r="71" spans="1:30" ht="15" customHeight="1" x14ac:dyDescent="0.3">
      <c r="A71" s="8">
        <f t="shared" si="1"/>
        <v>69</v>
      </c>
      <c r="B71" s="3" t="s">
        <v>21</v>
      </c>
      <c r="C71" s="3" t="s">
        <v>22</v>
      </c>
      <c r="D71" s="3" t="s">
        <v>441</v>
      </c>
      <c r="E71" s="3" t="s">
        <v>30</v>
      </c>
      <c r="F71" s="3">
        <v>1404</v>
      </c>
      <c r="G71" s="4">
        <v>46234</v>
      </c>
      <c r="H71" s="4"/>
      <c r="I71" s="3" t="s">
        <v>31</v>
      </c>
      <c r="J71" s="3" t="s">
        <v>28</v>
      </c>
      <c r="K71" s="3">
        <v>3</v>
      </c>
      <c r="L71" s="3">
        <v>60</v>
      </c>
      <c r="M71" s="3" t="s">
        <v>32</v>
      </c>
      <c r="N71" s="4">
        <v>46240</v>
      </c>
      <c r="O71" s="4">
        <v>46240</v>
      </c>
      <c r="P71" s="3" t="s">
        <v>219</v>
      </c>
      <c r="Q71" s="3" t="s">
        <v>29</v>
      </c>
      <c r="R71" s="3" t="s">
        <v>26</v>
      </c>
      <c r="S71" s="3"/>
      <c r="T71" s="3"/>
      <c r="U71" s="3" t="s">
        <v>27</v>
      </c>
      <c r="V71" s="3">
        <v>709</v>
      </c>
      <c r="W71" s="3">
        <v>0</v>
      </c>
      <c r="X71" s="3" t="s">
        <v>97</v>
      </c>
      <c r="Y71" s="3" t="s">
        <v>97</v>
      </c>
      <c r="Z71" s="4">
        <v>46240</v>
      </c>
      <c r="AA71" s="3" t="s">
        <v>64</v>
      </c>
      <c r="AB71" s="3" t="s">
        <v>479</v>
      </c>
      <c r="AC71" s="3" t="s">
        <v>613</v>
      </c>
      <c r="AD71" s="9" t="s">
        <v>633</v>
      </c>
    </row>
    <row r="72" spans="1:30" ht="15" customHeight="1" x14ac:dyDescent="0.3">
      <c r="A72" s="8">
        <f t="shared" si="1"/>
        <v>70</v>
      </c>
      <c r="B72" s="3" t="s">
        <v>21</v>
      </c>
      <c r="C72" s="3" t="s">
        <v>22</v>
      </c>
      <c r="D72" s="3" t="s">
        <v>441</v>
      </c>
      <c r="E72" s="3" t="s">
        <v>33</v>
      </c>
      <c r="F72" s="3">
        <v>1405</v>
      </c>
      <c r="G72" s="4">
        <v>46234</v>
      </c>
      <c r="H72" s="4"/>
      <c r="I72" s="3" t="s">
        <v>34</v>
      </c>
      <c r="J72" s="3" t="s">
        <v>28</v>
      </c>
      <c r="K72" s="3">
        <v>15</v>
      </c>
      <c r="L72" s="3">
        <v>150</v>
      </c>
      <c r="M72" s="3" t="s">
        <v>32</v>
      </c>
      <c r="N72" s="4">
        <v>46240</v>
      </c>
      <c r="O72" s="4">
        <v>46240</v>
      </c>
      <c r="P72" s="3" t="s">
        <v>219</v>
      </c>
      <c r="Q72" s="3" t="s">
        <v>29</v>
      </c>
      <c r="R72" s="3" t="s">
        <v>26</v>
      </c>
      <c r="S72" s="3"/>
      <c r="T72" s="3"/>
      <c r="U72" s="3" t="s">
        <v>27</v>
      </c>
      <c r="V72" s="3">
        <v>709</v>
      </c>
      <c r="W72" s="3">
        <v>0</v>
      </c>
      <c r="X72" s="3" t="s">
        <v>97</v>
      </c>
      <c r="Y72" s="3" t="s">
        <v>97</v>
      </c>
      <c r="Z72" s="4">
        <v>46240</v>
      </c>
      <c r="AA72" s="3" t="s">
        <v>64</v>
      </c>
      <c r="AB72" s="3" t="s">
        <v>479</v>
      </c>
      <c r="AC72" s="3" t="s">
        <v>613</v>
      </c>
      <c r="AD72" s="9" t="s">
        <v>633</v>
      </c>
    </row>
    <row r="73" spans="1:30" ht="15" customHeight="1" x14ac:dyDescent="0.3">
      <c r="A73" s="8">
        <f t="shared" si="1"/>
        <v>71</v>
      </c>
      <c r="B73" s="3" t="s">
        <v>21</v>
      </c>
      <c r="C73" s="3" t="s">
        <v>35</v>
      </c>
      <c r="D73" s="3" t="s">
        <v>36</v>
      </c>
      <c r="E73" s="3" t="s">
        <v>37</v>
      </c>
      <c r="F73" s="3">
        <v>1406</v>
      </c>
      <c r="G73" s="4">
        <v>46234</v>
      </c>
      <c r="H73" s="4"/>
      <c r="I73" s="3" t="s">
        <v>34</v>
      </c>
      <c r="J73" s="3" t="s">
        <v>28</v>
      </c>
      <c r="K73" s="3">
        <v>30</v>
      </c>
      <c r="L73" s="3">
        <v>300</v>
      </c>
      <c r="M73" s="3" t="s">
        <v>32</v>
      </c>
      <c r="N73" s="4">
        <v>46241</v>
      </c>
      <c r="O73" s="4">
        <v>46241</v>
      </c>
      <c r="P73" s="3" t="s">
        <v>219</v>
      </c>
      <c r="Q73" s="3" t="s">
        <v>29</v>
      </c>
      <c r="R73" s="3" t="s">
        <v>26</v>
      </c>
      <c r="S73" s="3"/>
      <c r="T73" s="3"/>
      <c r="U73" s="3" t="s">
        <v>27</v>
      </c>
      <c r="V73" s="3">
        <v>709</v>
      </c>
      <c r="W73" s="3">
        <v>0</v>
      </c>
      <c r="X73" s="3" t="s">
        <v>97</v>
      </c>
      <c r="Y73" s="3" t="s">
        <v>97</v>
      </c>
      <c r="Z73" s="4">
        <v>46241</v>
      </c>
      <c r="AA73" s="3" t="s">
        <v>470</v>
      </c>
      <c r="AB73" s="3" t="s">
        <v>472</v>
      </c>
      <c r="AC73" s="3" t="s">
        <v>630</v>
      </c>
      <c r="AD73" s="9" t="s">
        <v>633</v>
      </c>
    </row>
    <row r="74" spans="1:30" ht="15" customHeight="1" x14ac:dyDescent="0.3">
      <c r="A74" s="8">
        <f t="shared" si="1"/>
        <v>72</v>
      </c>
      <c r="B74" s="3" t="s">
        <v>21</v>
      </c>
      <c r="C74" s="3" t="s">
        <v>35</v>
      </c>
      <c r="D74" s="3" t="s">
        <v>36</v>
      </c>
      <c r="E74" s="3" t="s">
        <v>39</v>
      </c>
      <c r="F74" s="3">
        <v>1407</v>
      </c>
      <c r="G74" s="4">
        <v>46234</v>
      </c>
      <c r="H74" s="4"/>
      <c r="I74" s="3" t="s">
        <v>31</v>
      </c>
      <c r="J74" s="3" t="s">
        <v>28</v>
      </c>
      <c r="K74" s="3">
        <v>9</v>
      </c>
      <c r="L74" s="3">
        <v>180</v>
      </c>
      <c r="M74" s="3" t="s">
        <v>32</v>
      </c>
      <c r="N74" s="4">
        <v>46241</v>
      </c>
      <c r="O74" s="4">
        <v>46241</v>
      </c>
      <c r="P74" s="3" t="s">
        <v>219</v>
      </c>
      <c r="Q74" s="3" t="s">
        <v>29</v>
      </c>
      <c r="R74" s="3" t="s">
        <v>26</v>
      </c>
      <c r="S74" s="3"/>
      <c r="T74" s="3"/>
      <c r="U74" s="3" t="s">
        <v>27</v>
      </c>
      <c r="V74" s="3">
        <v>709</v>
      </c>
      <c r="W74" s="3">
        <v>0</v>
      </c>
      <c r="X74" s="3" t="s">
        <v>97</v>
      </c>
      <c r="Y74" s="3" t="s">
        <v>97</v>
      </c>
      <c r="Z74" s="4">
        <v>46241</v>
      </c>
      <c r="AA74" s="3" t="s">
        <v>470</v>
      </c>
      <c r="AB74" s="3" t="s">
        <v>472</v>
      </c>
      <c r="AC74" s="3" t="s">
        <v>630</v>
      </c>
      <c r="AD74" s="9" t="s">
        <v>633</v>
      </c>
    </row>
    <row r="75" spans="1:30" ht="15" customHeight="1" x14ac:dyDescent="0.3">
      <c r="A75" s="8">
        <f t="shared" si="1"/>
        <v>73</v>
      </c>
      <c r="B75" s="3" t="s">
        <v>21</v>
      </c>
      <c r="C75" s="3" t="s">
        <v>35</v>
      </c>
      <c r="D75" s="3" t="s">
        <v>36</v>
      </c>
      <c r="E75" s="3" t="s">
        <v>40</v>
      </c>
      <c r="F75" s="3">
        <v>1408</v>
      </c>
      <c r="G75" s="4">
        <v>46234</v>
      </c>
      <c r="H75" s="4"/>
      <c r="I75" s="3" t="s">
        <v>31</v>
      </c>
      <c r="J75" s="3" t="s">
        <v>28</v>
      </c>
      <c r="K75" s="3">
        <v>4</v>
      </c>
      <c r="L75" s="3">
        <v>48</v>
      </c>
      <c r="M75" s="3" t="s">
        <v>32</v>
      </c>
      <c r="N75" s="4">
        <v>46241</v>
      </c>
      <c r="O75" s="4">
        <v>46241</v>
      </c>
      <c r="P75" s="3" t="s">
        <v>219</v>
      </c>
      <c r="Q75" s="3" t="s">
        <v>29</v>
      </c>
      <c r="R75" s="3" t="s">
        <v>26</v>
      </c>
      <c r="S75" s="3"/>
      <c r="T75" s="3"/>
      <c r="U75" s="3" t="s">
        <v>27</v>
      </c>
      <c r="V75" s="3">
        <v>709</v>
      </c>
      <c r="W75" s="3">
        <v>0</v>
      </c>
      <c r="X75" s="3" t="s">
        <v>97</v>
      </c>
      <c r="Y75" s="3" t="s">
        <v>97</v>
      </c>
      <c r="Z75" s="4">
        <v>46241</v>
      </c>
      <c r="AA75" s="3" t="s">
        <v>470</v>
      </c>
      <c r="AB75" s="3" t="s">
        <v>472</v>
      </c>
      <c r="AC75" s="3" t="s">
        <v>630</v>
      </c>
      <c r="AD75" s="9" t="s">
        <v>633</v>
      </c>
    </row>
    <row r="76" spans="1:30" ht="15" customHeight="1" x14ac:dyDescent="0.3">
      <c r="A76" s="8">
        <f t="shared" si="1"/>
        <v>74</v>
      </c>
      <c r="B76" s="3" t="s">
        <v>21</v>
      </c>
      <c r="C76" s="3" t="s">
        <v>41</v>
      </c>
      <c r="D76" s="3" t="s">
        <v>43</v>
      </c>
      <c r="E76" s="3" t="s">
        <v>42</v>
      </c>
      <c r="F76" s="18">
        <v>1409</v>
      </c>
      <c r="G76" s="4">
        <v>46234</v>
      </c>
      <c r="H76" s="4"/>
      <c r="I76" s="3" t="s">
        <v>31</v>
      </c>
      <c r="J76" s="3" t="s">
        <v>28</v>
      </c>
      <c r="K76" s="3">
        <v>9</v>
      </c>
      <c r="L76" s="3">
        <v>180</v>
      </c>
      <c r="M76" s="3" t="s">
        <v>32</v>
      </c>
      <c r="N76" s="4">
        <v>46248</v>
      </c>
      <c r="O76" s="4">
        <v>46248</v>
      </c>
      <c r="P76" s="3" t="s">
        <v>219</v>
      </c>
      <c r="Q76" s="3" t="s">
        <v>29</v>
      </c>
      <c r="R76" s="3" t="s">
        <v>26</v>
      </c>
      <c r="S76" s="3"/>
      <c r="T76" s="3"/>
      <c r="U76" s="3" t="s">
        <v>27</v>
      </c>
      <c r="V76" s="3">
        <v>709</v>
      </c>
      <c r="W76" s="3">
        <v>0</v>
      </c>
      <c r="X76" s="3" t="s">
        <v>97</v>
      </c>
      <c r="Y76" s="3" t="s">
        <v>97</v>
      </c>
      <c r="Z76" s="4">
        <v>46248</v>
      </c>
      <c r="AA76" s="3" t="s">
        <v>64</v>
      </c>
      <c r="AB76" s="3" t="s">
        <v>479</v>
      </c>
      <c r="AC76" s="3" t="s">
        <v>615</v>
      </c>
      <c r="AD76" s="9" t="s">
        <v>633</v>
      </c>
    </row>
    <row r="77" spans="1:30" ht="15" customHeight="1" x14ac:dyDescent="0.3">
      <c r="A77" s="8">
        <f t="shared" si="1"/>
        <v>75</v>
      </c>
      <c r="B77" s="3" t="s">
        <v>21</v>
      </c>
      <c r="C77" s="3" t="s">
        <v>44</v>
      </c>
      <c r="D77" s="3" t="s">
        <v>45</v>
      </c>
      <c r="E77" s="3" t="s">
        <v>46</v>
      </c>
      <c r="F77" s="3">
        <v>1410</v>
      </c>
      <c r="G77" s="4">
        <v>46234</v>
      </c>
      <c r="H77" s="4"/>
      <c r="I77" s="3" t="s">
        <v>31</v>
      </c>
      <c r="J77" s="3" t="s">
        <v>28</v>
      </c>
      <c r="K77" s="3">
        <v>6</v>
      </c>
      <c r="L77" s="3">
        <v>120</v>
      </c>
      <c r="M77" s="3" t="s">
        <v>32</v>
      </c>
      <c r="N77" s="4">
        <v>46252</v>
      </c>
      <c r="O77" s="4">
        <v>46256</v>
      </c>
      <c r="P77" s="3" t="s">
        <v>219</v>
      </c>
      <c r="Q77" s="3" t="s">
        <v>29</v>
      </c>
      <c r="R77" s="3" t="s">
        <v>26</v>
      </c>
      <c r="S77" s="3"/>
      <c r="T77" s="3"/>
      <c r="U77" s="3" t="s">
        <v>27</v>
      </c>
      <c r="V77" s="3">
        <v>709</v>
      </c>
      <c r="W77" s="3">
        <v>0</v>
      </c>
      <c r="X77" s="3" t="s">
        <v>97</v>
      </c>
      <c r="Y77" s="3" t="s">
        <v>97</v>
      </c>
      <c r="Z77" s="4">
        <v>46256</v>
      </c>
      <c r="AA77" s="3" t="s">
        <v>308</v>
      </c>
      <c r="AB77" s="3" t="s">
        <v>472</v>
      </c>
      <c r="AC77" s="3" t="s">
        <v>629</v>
      </c>
      <c r="AD77" s="9" t="s">
        <v>633</v>
      </c>
    </row>
    <row r="78" spans="1:30" ht="15" customHeight="1" x14ac:dyDescent="0.3">
      <c r="A78" s="8">
        <f t="shared" si="1"/>
        <v>76</v>
      </c>
      <c r="B78" s="3" t="s">
        <v>21</v>
      </c>
      <c r="C78" s="3" t="s">
        <v>47</v>
      </c>
      <c r="D78" s="3" t="s">
        <v>48</v>
      </c>
      <c r="E78" s="3" t="s">
        <v>49</v>
      </c>
      <c r="F78" s="3">
        <v>1411</v>
      </c>
      <c r="G78" s="4">
        <v>46234</v>
      </c>
      <c r="H78" s="4"/>
      <c r="I78" s="3" t="s">
        <v>31</v>
      </c>
      <c r="J78" s="3" t="s">
        <v>28</v>
      </c>
      <c r="K78" s="3">
        <v>15</v>
      </c>
      <c r="L78" s="3">
        <v>300</v>
      </c>
      <c r="M78" s="3" t="s">
        <v>32</v>
      </c>
      <c r="N78" s="4">
        <v>46241</v>
      </c>
      <c r="O78" s="4">
        <v>46241</v>
      </c>
      <c r="P78" s="3" t="s">
        <v>219</v>
      </c>
      <c r="Q78" s="3" t="s">
        <v>29</v>
      </c>
      <c r="R78" s="3" t="s">
        <v>26</v>
      </c>
      <c r="S78" s="3"/>
      <c r="T78" s="3"/>
      <c r="U78" s="3" t="s">
        <v>27</v>
      </c>
      <c r="V78" s="3">
        <v>709</v>
      </c>
      <c r="W78" s="3">
        <v>0</v>
      </c>
      <c r="X78" s="3" t="s">
        <v>97</v>
      </c>
      <c r="Y78" s="3" t="s">
        <v>97</v>
      </c>
      <c r="Z78" s="4">
        <v>46241</v>
      </c>
      <c r="AA78" s="3" t="s">
        <v>470</v>
      </c>
      <c r="AB78" s="3" t="s">
        <v>472</v>
      </c>
      <c r="AC78" s="3" t="s">
        <v>630</v>
      </c>
      <c r="AD78" s="9" t="s">
        <v>633</v>
      </c>
    </row>
    <row r="79" spans="1:30" ht="15" hidden="1" customHeight="1" x14ac:dyDescent="0.3">
      <c r="A79" s="8">
        <f t="shared" si="1"/>
        <v>77</v>
      </c>
      <c r="B79" s="3" t="s">
        <v>21</v>
      </c>
      <c r="C79" s="3" t="s">
        <v>174</v>
      </c>
      <c r="D79" s="3" t="s">
        <v>175</v>
      </c>
      <c r="E79" s="3">
        <v>718286822</v>
      </c>
      <c r="F79" s="3">
        <v>1412</v>
      </c>
      <c r="G79" s="4">
        <v>46265</v>
      </c>
      <c r="H79" s="4"/>
      <c r="I79" s="3" t="s">
        <v>170</v>
      </c>
      <c r="J79" s="3" t="s">
        <v>28</v>
      </c>
      <c r="K79" s="3">
        <v>7</v>
      </c>
      <c r="L79" s="3">
        <v>140</v>
      </c>
      <c r="M79" s="3" t="s">
        <v>32</v>
      </c>
      <c r="N79" s="4">
        <v>46259</v>
      </c>
      <c r="O79" s="4">
        <v>46259</v>
      </c>
      <c r="P79" s="3" t="s">
        <v>637</v>
      </c>
      <c r="Q79" s="3" t="s">
        <v>29</v>
      </c>
      <c r="R79" s="3" t="s">
        <v>26</v>
      </c>
      <c r="S79" s="3"/>
      <c r="T79" s="3"/>
      <c r="U79" s="3" t="s">
        <v>27</v>
      </c>
      <c r="V79" s="3">
        <v>709</v>
      </c>
      <c r="W79" s="3">
        <v>0</v>
      </c>
      <c r="X79" s="3" t="s">
        <v>637</v>
      </c>
      <c r="Y79" s="3" t="s">
        <v>637</v>
      </c>
      <c r="Z79" s="4">
        <v>46259</v>
      </c>
      <c r="AA79" s="3" t="s">
        <v>638</v>
      </c>
      <c r="AB79" s="3" t="s">
        <v>639</v>
      </c>
      <c r="AC79" s="3"/>
      <c r="AD79" s="9" t="s">
        <v>643</v>
      </c>
    </row>
    <row r="80" spans="1:30" ht="15" customHeight="1" x14ac:dyDescent="0.3">
      <c r="A80" s="8">
        <f t="shared" si="1"/>
        <v>78</v>
      </c>
      <c r="B80" s="3" t="s">
        <v>21</v>
      </c>
      <c r="C80" s="3" t="s">
        <v>52</v>
      </c>
      <c r="D80" s="3" t="s">
        <v>50</v>
      </c>
      <c r="E80" s="3" t="s">
        <v>51</v>
      </c>
      <c r="F80" s="3">
        <v>1413</v>
      </c>
      <c r="G80" s="4">
        <v>46234</v>
      </c>
      <c r="H80" s="4"/>
      <c r="I80" s="3" t="s">
        <v>31</v>
      </c>
      <c r="J80" s="3" t="s">
        <v>28</v>
      </c>
      <c r="K80" s="3">
        <v>3</v>
      </c>
      <c r="L80" s="3">
        <v>60</v>
      </c>
      <c r="M80" s="3" t="s">
        <v>32</v>
      </c>
      <c r="N80" s="4">
        <v>46241</v>
      </c>
      <c r="O80" s="4">
        <v>46241</v>
      </c>
      <c r="P80" s="3" t="s">
        <v>219</v>
      </c>
      <c r="Q80" s="3" t="s">
        <v>29</v>
      </c>
      <c r="R80" s="3" t="s">
        <v>26</v>
      </c>
      <c r="S80" s="3"/>
      <c r="T80" s="3"/>
      <c r="U80" s="3" t="s">
        <v>27</v>
      </c>
      <c r="V80" s="3">
        <v>709</v>
      </c>
      <c r="W80" s="3">
        <v>0</v>
      </c>
      <c r="X80" s="3" t="s">
        <v>97</v>
      </c>
      <c r="Y80" s="3" t="s">
        <v>97</v>
      </c>
      <c r="Z80" s="4">
        <v>46241</v>
      </c>
      <c r="AA80" s="3" t="s">
        <v>470</v>
      </c>
      <c r="AB80" s="3" t="s">
        <v>472</v>
      </c>
      <c r="AC80" s="3" t="s">
        <v>630</v>
      </c>
      <c r="AD80" s="9" t="s">
        <v>633</v>
      </c>
    </row>
    <row r="81" spans="1:30" ht="15" customHeight="1" x14ac:dyDescent="0.3">
      <c r="A81" s="8">
        <f t="shared" si="1"/>
        <v>79</v>
      </c>
      <c r="B81" s="3" t="s">
        <v>21</v>
      </c>
      <c r="C81" s="3" t="s">
        <v>53</v>
      </c>
      <c r="D81" s="3" t="s">
        <v>54</v>
      </c>
      <c r="E81" s="3" t="s">
        <v>55</v>
      </c>
      <c r="F81" s="3">
        <v>1414</v>
      </c>
      <c r="G81" s="4">
        <v>46234</v>
      </c>
      <c r="H81" s="4"/>
      <c r="I81" s="3" t="s">
        <v>34</v>
      </c>
      <c r="J81" s="3" t="s">
        <v>28</v>
      </c>
      <c r="K81" s="3">
        <v>30</v>
      </c>
      <c r="L81" s="3">
        <v>300</v>
      </c>
      <c r="M81" s="3" t="s">
        <v>32</v>
      </c>
      <c r="N81" s="4">
        <v>46241</v>
      </c>
      <c r="O81" s="4">
        <v>46241</v>
      </c>
      <c r="P81" s="3" t="s">
        <v>219</v>
      </c>
      <c r="Q81" s="3" t="s">
        <v>29</v>
      </c>
      <c r="R81" s="3" t="s">
        <v>26</v>
      </c>
      <c r="S81" s="3"/>
      <c r="T81" s="3"/>
      <c r="U81" s="3" t="s">
        <v>27</v>
      </c>
      <c r="V81" s="3">
        <v>709</v>
      </c>
      <c r="W81" s="3">
        <v>0</v>
      </c>
      <c r="X81" s="3" t="s">
        <v>97</v>
      </c>
      <c r="Y81" s="3" t="s">
        <v>97</v>
      </c>
      <c r="Z81" s="4">
        <v>46244</v>
      </c>
      <c r="AA81" s="5" t="s">
        <v>155</v>
      </c>
      <c r="AB81" s="3" t="s">
        <v>469</v>
      </c>
      <c r="AC81" s="3"/>
      <c r="AD81" s="9" t="s">
        <v>633</v>
      </c>
    </row>
    <row r="82" spans="1:30" ht="15" customHeight="1" x14ac:dyDescent="0.3">
      <c r="A82" s="8">
        <f t="shared" si="1"/>
        <v>80</v>
      </c>
      <c r="B82" s="3" t="s">
        <v>21</v>
      </c>
      <c r="C82" s="3" t="s">
        <v>41</v>
      </c>
      <c r="D82" s="3" t="s">
        <v>45</v>
      </c>
      <c r="E82" s="3">
        <v>716286824</v>
      </c>
      <c r="F82" s="18">
        <v>1415</v>
      </c>
      <c r="G82" s="4">
        <v>46234</v>
      </c>
      <c r="H82" s="4"/>
      <c r="I82" s="3" t="s">
        <v>170</v>
      </c>
      <c r="J82" s="3" t="s">
        <v>28</v>
      </c>
      <c r="K82" s="3">
        <v>15</v>
      </c>
      <c r="L82" s="3">
        <v>300</v>
      </c>
      <c r="M82" s="3" t="s">
        <v>32</v>
      </c>
      <c r="N82" s="4">
        <v>46248</v>
      </c>
      <c r="O82" s="4">
        <v>46248</v>
      </c>
      <c r="P82" s="3" t="s">
        <v>219</v>
      </c>
      <c r="Q82" s="3" t="s">
        <v>29</v>
      </c>
      <c r="R82" s="3" t="s">
        <v>26</v>
      </c>
      <c r="S82" s="3"/>
      <c r="T82" s="3"/>
      <c r="U82" s="3" t="s">
        <v>27</v>
      </c>
      <c r="V82" s="3">
        <v>709</v>
      </c>
      <c r="W82" s="3">
        <v>0</v>
      </c>
      <c r="X82" s="3" t="s">
        <v>97</v>
      </c>
      <c r="Y82" s="3" t="s">
        <v>97</v>
      </c>
      <c r="Z82" s="4">
        <v>46248</v>
      </c>
      <c r="AA82" s="3" t="s">
        <v>64</v>
      </c>
      <c r="AB82" s="3" t="s">
        <v>609</v>
      </c>
      <c r="AC82" s="3" t="s">
        <v>627</v>
      </c>
      <c r="AD82" s="9" t="s">
        <v>633</v>
      </c>
    </row>
    <row r="83" spans="1:30" ht="15" customHeight="1" x14ac:dyDescent="0.3">
      <c r="A83" s="8">
        <f t="shared" si="1"/>
        <v>81</v>
      </c>
      <c r="B83" s="3" t="s">
        <v>21</v>
      </c>
      <c r="C83" s="3" t="s">
        <v>176</v>
      </c>
      <c r="D83" s="3" t="s">
        <v>45</v>
      </c>
      <c r="E83" s="3">
        <v>716286825</v>
      </c>
      <c r="F83" s="18">
        <v>1416</v>
      </c>
      <c r="G83" s="4">
        <v>46234</v>
      </c>
      <c r="H83" s="4"/>
      <c r="I83" s="3" t="s">
        <v>170</v>
      </c>
      <c r="J83" s="3" t="s">
        <v>28</v>
      </c>
      <c r="K83" s="3">
        <v>25</v>
      </c>
      <c r="L83" s="3">
        <v>500</v>
      </c>
      <c r="M83" s="3" t="s">
        <v>32</v>
      </c>
      <c r="N83" s="4">
        <v>46248</v>
      </c>
      <c r="O83" s="4">
        <v>46248</v>
      </c>
      <c r="P83" s="3" t="s">
        <v>219</v>
      </c>
      <c r="Q83" s="3" t="s">
        <v>29</v>
      </c>
      <c r="R83" s="3" t="s">
        <v>26</v>
      </c>
      <c r="S83" s="3"/>
      <c r="T83" s="3"/>
      <c r="U83" s="3" t="s">
        <v>27</v>
      </c>
      <c r="V83" s="3">
        <v>709</v>
      </c>
      <c r="W83" s="3">
        <v>0</v>
      </c>
      <c r="X83" s="3" t="s">
        <v>97</v>
      </c>
      <c r="Y83" s="3" t="s">
        <v>97</v>
      </c>
      <c r="Z83" s="4">
        <v>46248</v>
      </c>
      <c r="AA83" s="3" t="s">
        <v>64</v>
      </c>
      <c r="AB83" s="3" t="s">
        <v>479</v>
      </c>
      <c r="AC83" s="3" t="s">
        <v>615</v>
      </c>
      <c r="AD83" s="9" t="s">
        <v>633</v>
      </c>
    </row>
    <row r="84" spans="1:30" ht="15" customHeight="1" x14ac:dyDescent="0.3">
      <c r="A84" s="8">
        <f t="shared" si="1"/>
        <v>82</v>
      </c>
      <c r="B84" s="3" t="s">
        <v>21</v>
      </c>
      <c r="C84" s="3" t="s">
        <v>62</v>
      </c>
      <c r="D84" s="3" t="s">
        <v>184</v>
      </c>
      <c r="E84" s="3" t="s">
        <v>63</v>
      </c>
      <c r="F84" s="3">
        <v>1417</v>
      </c>
      <c r="G84" s="4">
        <v>46235</v>
      </c>
      <c r="H84" s="4"/>
      <c r="I84" s="3" t="s">
        <v>34</v>
      </c>
      <c r="J84" s="3" t="s">
        <v>28</v>
      </c>
      <c r="K84" s="3">
        <v>10</v>
      </c>
      <c r="L84" s="3">
        <v>100</v>
      </c>
      <c r="M84" s="3" t="s">
        <v>32</v>
      </c>
      <c r="N84" s="4">
        <v>46241</v>
      </c>
      <c r="O84" s="4">
        <v>46241</v>
      </c>
      <c r="P84" s="3" t="s">
        <v>219</v>
      </c>
      <c r="Q84" s="3" t="s">
        <v>29</v>
      </c>
      <c r="R84" s="3" t="s">
        <v>26</v>
      </c>
      <c r="S84" s="3"/>
      <c r="T84" s="3"/>
      <c r="U84" s="5" t="s">
        <v>64</v>
      </c>
      <c r="V84" s="3">
        <v>709</v>
      </c>
      <c r="W84" s="3">
        <v>0</v>
      </c>
      <c r="X84" s="3" t="s">
        <v>97</v>
      </c>
      <c r="Y84" s="3" t="s">
        <v>97</v>
      </c>
      <c r="Z84" s="4">
        <v>46244</v>
      </c>
      <c r="AA84" s="5" t="s">
        <v>155</v>
      </c>
      <c r="AB84" s="3" t="s">
        <v>469</v>
      </c>
      <c r="AC84" s="3"/>
      <c r="AD84" s="9" t="s">
        <v>633</v>
      </c>
    </row>
    <row r="85" spans="1:30" ht="15" customHeight="1" x14ac:dyDescent="0.3">
      <c r="A85" s="8">
        <f t="shared" si="1"/>
        <v>83</v>
      </c>
      <c r="B85" s="3" t="s">
        <v>21</v>
      </c>
      <c r="C85" s="3" t="s">
        <v>62</v>
      </c>
      <c r="D85" s="3" t="s">
        <v>184</v>
      </c>
      <c r="E85" s="3" t="s">
        <v>65</v>
      </c>
      <c r="F85" s="3">
        <v>1418</v>
      </c>
      <c r="G85" s="4">
        <v>46235</v>
      </c>
      <c r="H85" s="4"/>
      <c r="I85" s="3" t="s">
        <v>31</v>
      </c>
      <c r="J85" s="3" t="s">
        <v>28</v>
      </c>
      <c r="K85" s="3">
        <v>3</v>
      </c>
      <c r="L85" s="3">
        <v>60</v>
      </c>
      <c r="M85" s="3" t="s">
        <v>32</v>
      </c>
      <c r="N85" s="4">
        <v>46241</v>
      </c>
      <c r="O85" s="4">
        <v>46241</v>
      </c>
      <c r="P85" s="3" t="s">
        <v>219</v>
      </c>
      <c r="Q85" s="3" t="s">
        <v>29</v>
      </c>
      <c r="R85" s="3" t="s">
        <v>26</v>
      </c>
      <c r="S85" s="3"/>
      <c r="T85" s="3"/>
      <c r="U85" s="5" t="s">
        <v>64</v>
      </c>
      <c r="V85" s="3">
        <v>709</v>
      </c>
      <c r="W85" s="3">
        <v>0</v>
      </c>
      <c r="X85" s="3" t="s">
        <v>97</v>
      </c>
      <c r="Y85" s="3" t="s">
        <v>97</v>
      </c>
      <c r="Z85" s="4">
        <v>46244</v>
      </c>
      <c r="AA85" s="5" t="s">
        <v>155</v>
      </c>
      <c r="AB85" s="3" t="s">
        <v>469</v>
      </c>
      <c r="AC85" s="3"/>
      <c r="AD85" s="9" t="s">
        <v>633</v>
      </c>
    </row>
    <row r="86" spans="1:30" ht="15" customHeight="1" x14ac:dyDescent="0.3">
      <c r="A86" s="8">
        <f t="shared" si="1"/>
        <v>84</v>
      </c>
      <c r="B86" s="3" t="s">
        <v>21</v>
      </c>
      <c r="C86" s="3" t="s">
        <v>66</v>
      </c>
      <c r="D86" s="3" t="s">
        <v>67</v>
      </c>
      <c r="E86" s="3" t="s">
        <v>68</v>
      </c>
      <c r="F86" s="3">
        <v>1419</v>
      </c>
      <c r="G86" s="4">
        <v>46235</v>
      </c>
      <c r="H86" s="4"/>
      <c r="I86" s="3" t="s">
        <v>34</v>
      </c>
      <c r="J86" s="3" t="s">
        <v>28</v>
      </c>
      <c r="K86" s="3">
        <v>15</v>
      </c>
      <c r="L86" s="3">
        <v>150</v>
      </c>
      <c r="M86" s="3" t="s">
        <v>32</v>
      </c>
      <c r="N86" s="4">
        <v>46241</v>
      </c>
      <c r="O86" s="4">
        <v>46241</v>
      </c>
      <c r="P86" s="3" t="s">
        <v>219</v>
      </c>
      <c r="Q86" s="3" t="s">
        <v>29</v>
      </c>
      <c r="R86" s="3" t="s">
        <v>26</v>
      </c>
      <c r="S86" s="3"/>
      <c r="T86" s="3"/>
      <c r="U86" s="5" t="s">
        <v>64</v>
      </c>
      <c r="V86" s="3">
        <v>709</v>
      </c>
      <c r="W86" s="3">
        <v>0</v>
      </c>
      <c r="X86" s="3" t="s">
        <v>97</v>
      </c>
      <c r="Y86" s="3" t="s">
        <v>97</v>
      </c>
      <c r="Z86" s="4">
        <v>46241</v>
      </c>
      <c r="AA86" s="3" t="s">
        <v>470</v>
      </c>
      <c r="AB86" s="3" t="s">
        <v>472</v>
      </c>
      <c r="AC86" s="3" t="s">
        <v>630</v>
      </c>
      <c r="AD86" s="9" t="s">
        <v>633</v>
      </c>
    </row>
    <row r="87" spans="1:30" ht="15" customHeight="1" x14ac:dyDescent="0.3">
      <c r="A87" s="8">
        <f t="shared" si="1"/>
        <v>85</v>
      </c>
      <c r="B87" s="3" t="s">
        <v>21</v>
      </c>
      <c r="C87" s="3" t="s">
        <v>69</v>
      </c>
      <c r="D87" s="3" t="s">
        <v>21</v>
      </c>
      <c r="E87" s="3" t="s">
        <v>70</v>
      </c>
      <c r="F87" s="3">
        <v>1420</v>
      </c>
      <c r="G87" s="4">
        <v>46235</v>
      </c>
      <c r="H87" s="4"/>
      <c r="I87" s="3" t="s">
        <v>34</v>
      </c>
      <c r="J87" s="3" t="s">
        <v>28</v>
      </c>
      <c r="K87" s="3">
        <v>5</v>
      </c>
      <c r="L87" s="3">
        <v>50</v>
      </c>
      <c r="M87" s="3" t="s">
        <v>32</v>
      </c>
      <c r="N87" s="4">
        <v>46254</v>
      </c>
      <c r="O87" s="4">
        <v>46253</v>
      </c>
      <c r="P87" s="3" t="s">
        <v>219</v>
      </c>
      <c r="Q87" s="3" t="s">
        <v>29</v>
      </c>
      <c r="R87" s="3" t="s">
        <v>26</v>
      </c>
      <c r="S87" s="3"/>
      <c r="T87" s="3"/>
      <c r="U87" s="5" t="s">
        <v>64</v>
      </c>
      <c r="V87" s="3">
        <v>709</v>
      </c>
      <c r="W87" s="3">
        <v>0</v>
      </c>
      <c r="X87" s="3" t="s">
        <v>97</v>
      </c>
      <c r="Y87" s="3" t="s">
        <v>97</v>
      </c>
      <c r="Z87" s="4">
        <v>46250</v>
      </c>
      <c r="AA87" s="3" t="s">
        <v>308</v>
      </c>
      <c r="AB87" s="3" t="s">
        <v>472</v>
      </c>
      <c r="AC87" s="3" t="s">
        <v>629</v>
      </c>
      <c r="AD87" s="9" t="s">
        <v>633</v>
      </c>
    </row>
    <row r="88" spans="1:30" ht="15" customHeight="1" x14ac:dyDescent="0.3">
      <c r="A88" s="8">
        <f t="shared" si="1"/>
        <v>86</v>
      </c>
      <c r="B88" s="3" t="s">
        <v>21</v>
      </c>
      <c r="C88" s="3" t="s">
        <v>75</v>
      </c>
      <c r="D88" s="3" t="s">
        <v>76</v>
      </c>
      <c r="E88" s="3" t="s">
        <v>74</v>
      </c>
      <c r="F88" s="3">
        <v>1421</v>
      </c>
      <c r="G88" s="4">
        <v>46235</v>
      </c>
      <c r="H88" s="4"/>
      <c r="I88" s="3" t="s">
        <v>31</v>
      </c>
      <c r="J88" s="3" t="s">
        <v>28</v>
      </c>
      <c r="K88" s="3">
        <v>12</v>
      </c>
      <c r="L88" s="3">
        <v>240</v>
      </c>
      <c r="M88" s="3" t="s">
        <v>32</v>
      </c>
      <c r="N88" s="4">
        <v>46247</v>
      </c>
      <c r="O88" s="4">
        <v>46246</v>
      </c>
      <c r="P88" s="3" t="s">
        <v>219</v>
      </c>
      <c r="Q88" s="3" t="s">
        <v>29</v>
      </c>
      <c r="R88" s="3" t="s">
        <v>26</v>
      </c>
      <c r="S88" s="3"/>
      <c r="T88" s="3"/>
      <c r="U88" s="5" t="s">
        <v>64</v>
      </c>
      <c r="V88" s="3">
        <v>709</v>
      </c>
      <c r="W88" s="3">
        <v>0</v>
      </c>
      <c r="X88" s="3" t="s">
        <v>97</v>
      </c>
      <c r="Y88" s="3" t="s">
        <v>97</v>
      </c>
      <c r="Z88" s="4">
        <v>46246</v>
      </c>
      <c r="AA88" s="5" t="s">
        <v>308</v>
      </c>
      <c r="AB88" s="3" t="s">
        <v>472</v>
      </c>
      <c r="AC88" s="3" t="s">
        <v>629</v>
      </c>
      <c r="AD88" s="9" t="s">
        <v>633</v>
      </c>
    </row>
    <row r="89" spans="1:30" ht="15" customHeight="1" x14ac:dyDescent="0.3">
      <c r="A89" s="8">
        <f t="shared" si="1"/>
        <v>87</v>
      </c>
      <c r="B89" s="3" t="s">
        <v>21</v>
      </c>
      <c r="C89" s="3" t="s">
        <v>75</v>
      </c>
      <c r="D89" s="3" t="s">
        <v>76</v>
      </c>
      <c r="E89" s="3" t="s">
        <v>77</v>
      </c>
      <c r="F89" s="3">
        <v>1422</v>
      </c>
      <c r="G89" s="4">
        <v>46235</v>
      </c>
      <c r="H89" s="4"/>
      <c r="I89" s="3" t="s">
        <v>34</v>
      </c>
      <c r="J89" s="3" t="s">
        <v>28</v>
      </c>
      <c r="K89" s="3">
        <v>15</v>
      </c>
      <c r="L89" s="3">
        <v>150</v>
      </c>
      <c r="M89" s="3" t="s">
        <v>32</v>
      </c>
      <c r="N89" s="4">
        <v>46247</v>
      </c>
      <c r="O89" s="4">
        <v>46246</v>
      </c>
      <c r="P89" s="3" t="s">
        <v>219</v>
      </c>
      <c r="Q89" s="3" t="s">
        <v>29</v>
      </c>
      <c r="R89" s="3" t="s">
        <v>26</v>
      </c>
      <c r="S89" s="3"/>
      <c r="T89" s="3"/>
      <c r="U89" s="5" t="s">
        <v>64</v>
      </c>
      <c r="V89" s="3">
        <v>709</v>
      </c>
      <c r="W89" s="3">
        <v>0</v>
      </c>
      <c r="X89" s="3" t="s">
        <v>97</v>
      </c>
      <c r="Y89" s="3" t="s">
        <v>97</v>
      </c>
      <c r="Z89" s="4">
        <v>46246</v>
      </c>
      <c r="AA89" s="5" t="s">
        <v>308</v>
      </c>
      <c r="AB89" s="3" t="s">
        <v>472</v>
      </c>
      <c r="AC89" s="3" t="s">
        <v>629</v>
      </c>
      <c r="AD89" s="9" t="s">
        <v>633</v>
      </c>
    </row>
    <row r="90" spans="1:30" ht="15" customHeight="1" x14ac:dyDescent="0.3">
      <c r="A90" s="8">
        <f t="shared" si="1"/>
        <v>88</v>
      </c>
      <c r="B90" s="3" t="s">
        <v>21</v>
      </c>
      <c r="C90" s="3" t="s">
        <v>78</v>
      </c>
      <c r="D90" s="3" t="s">
        <v>441</v>
      </c>
      <c r="E90" s="3" t="s">
        <v>80</v>
      </c>
      <c r="F90" s="3">
        <v>1423</v>
      </c>
      <c r="G90" s="4">
        <v>46235</v>
      </c>
      <c r="H90" s="4"/>
      <c r="I90" s="3" t="s">
        <v>34</v>
      </c>
      <c r="J90" s="3" t="s">
        <v>28</v>
      </c>
      <c r="K90" s="3">
        <v>10</v>
      </c>
      <c r="L90" s="3">
        <v>100</v>
      </c>
      <c r="M90" s="3" t="s">
        <v>32</v>
      </c>
      <c r="N90" s="4">
        <v>46240</v>
      </c>
      <c r="O90" s="4">
        <v>46240</v>
      </c>
      <c r="P90" s="3" t="s">
        <v>219</v>
      </c>
      <c r="Q90" s="3" t="s">
        <v>29</v>
      </c>
      <c r="R90" s="3" t="s">
        <v>26</v>
      </c>
      <c r="S90" s="3"/>
      <c r="T90" s="3"/>
      <c r="U90" s="5" t="s">
        <v>64</v>
      </c>
      <c r="V90" s="3">
        <v>709</v>
      </c>
      <c r="W90" s="3">
        <v>0</v>
      </c>
      <c r="X90" s="3" t="s">
        <v>97</v>
      </c>
      <c r="Y90" s="3" t="s">
        <v>97</v>
      </c>
      <c r="Z90" s="4">
        <v>46240</v>
      </c>
      <c r="AA90" s="3" t="s">
        <v>64</v>
      </c>
      <c r="AB90" s="3" t="s">
        <v>479</v>
      </c>
      <c r="AC90" s="3" t="s">
        <v>613</v>
      </c>
      <c r="AD90" s="9" t="s">
        <v>633</v>
      </c>
    </row>
    <row r="91" spans="1:30" ht="15" customHeight="1" x14ac:dyDescent="0.3">
      <c r="A91" s="8">
        <f t="shared" si="1"/>
        <v>89</v>
      </c>
      <c r="B91" s="3" t="s">
        <v>21</v>
      </c>
      <c r="C91" s="3" t="s">
        <v>78</v>
      </c>
      <c r="D91" s="3" t="s">
        <v>441</v>
      </c>
      <c r="E91" s="3" t="s">
        <v>81</v>
      </c>
      <c r="F91" s="3">
        <v>1424</v>
      </c>
      <c r="G91" s="4">
        <v>46235</v>
      </c>
      <c r="H91" s="4"/>
      <c r="I91" s="3" t="s">
        <v>31</v>
      </c>
      <c r="J91" s="3" t="s">
        <v>28</v>
      </c>
      <c r="K91" s="3">
        <v>21</v>
      </c>
      <c r="L91" s="3">
        <v>420</v>
      </c>
      <c r="M91" s="3" t="s">
        <v>32</v>
      </c>
      <c r="N91" s="4">
        <v>46240</v>
      </c>
      <c r="O91" s="4">
        <v>46240</v>
      </c>
      <c r="P91" s="3" t="s">
        <v>219</v>
      </c>
      <c r="Q91" s="3" t="s">
        <v>29</v>
      </c>
      <c r="R91" s="3" t="s">
        <v>26</v>
      </c>
      <c r="S91" s="3"/>
      <c r="T91" s="3"/>
      <c r="U91" s="5" t="s">
        <v>64</v>
      </c>
      <c r="V91" s="3">
        <v>709</v>
      </c>
      <c r="W91" s="3">
        <v>0</v>
      </c>
      <c r="X91" s="3" t="s">
        <v>97</v>
      </c>
      <c r="Y91" s="3" t="s">
        <v>97</v>
      </c>
      <c r="Z91" s="4">
        <v>46240</v>
      </c>
      <c r="AA91" s="3" t="s">
        <v>64</v>
      </c>
      <c r="AB91" s="3" t="s">
        <v>479</v>
      </c>
      <c r="AC91" s="3" t="s">
        <v>613</v>
      </c>
      <c r="AD91" s="9" t="s">
        <v>633</v>
      </c>
    </row>
    <row r="92" spans="1:30" ht="15" customHeight="1" x14ac:dyDescent="0.3">
      <c r="A92" s="8">
        <f t="shared" si="1"/>
        <v>90</v>
      </c>
      <c r="B92" s="3" t="s">
        <v>21</v>
      </c>
      <c r="C92" s="3" t="s">
        <v>78</v>
      </c>
      <c r="D92" s="3" t="s">
        <v>441</v>
      </c>
      <c r="E92" s="3" t="s">
        <v>82</v>
      </c>
      <c r="F92" s="3">
        <v>1425</v>
      </c>
      <c r="G92" s="4">
        <v>46235</v>
      </c>
      <c r="H92" s="4"/>
      <c r="I92" s="3" t="s">
        <v>31</v>
      </c>
      <c r="J92" s="3" t="s">
        <v>28</v>
      </c>
      <c r="K92" s="3">
        <v>12</v>
      </c>
      <c r="L92" s="3">
        <v>144</v>
      </c>
      <c r="M92" s="3" t="s">
        <v>32</v>
      </c>
      <c r="N92" s="4">
        <v>46240</v>
      </c>
      <c r="O92" s="4">
        <v>46240</v>
      </c>
      <c r="P92" s="3" t="s">
        <v>219</v>
      </c>
      <c r="Q92" s="3" t="s">
        <v>29</v>
      </c>
      <c r="R92" s="3" t="s">
        <v>26</v>
      </c>
      <c r="S92" s="3"/>
      <c r="T92" s="3"/>
      <c r="U92" s="5" t="s">
        <v>64</v>
      </c>
      <c r="V92" s="3">
        <v>709</v>
      </c>
      <c r="W92" s="3">
        <v>0</v>
      </c>
      <c r="X92" s="3" t="s">
        <v>97</v>
      </c>
      <c r="Y92" s="3" t="s">
        <v>97</v>
      </c>
      <c r="Z92" s="4">
        <v>46240</v>
      </c>
      <c r="AA92" s="3" t="s">
        <v>64</v>
      </c>
      <c r="AB92" s="3" t="s">
        <v>479</v>
      </c>
      <c r="AC92" s="3" t="s">
        <v>613</v>
      </c>
      <c r="AD92" s="9" t="s">
        <v>633</v>
      </c>
    </row>
    <row r="93" spans="1:30" ht="15" customHeight="1" x14ac:dyDescent="0.3">
      <c r="A93" s="8">
        <f t="shared" si="1"/>
        <v>91</v>
      </c>
      <c r="B93" s="3" t="s">
        <v>21</v>
      </c>
      <c r="C93" s="3" t="s">
        <v>53</v>
      </c>
      <c r="D93" s="3" t="s">
        <v>83</v>
      </c>
      <c r="E93" s="3" t="s">
        <v>84</v>
      </c>
      <c r="F93" s="3">
        <v>1426</v>
      </c>
      <c r="G93" s="4">
        <v>46235</v>
      </c>
      <c r="H93" s="4"/>
      <c r="I93" s="3" t="s">
        <v>24</v>
      </c>
      <c r="J93" s="3" t="s">
        <v>28</v>
      </c>
      <c r="K93" s="3">
        <v>4</v>
      </c>
      <c r="L93" s="3">
        <v>48</v>
      </c>
      <c r="M93" s="3" t="s">
        <v>32</v>
      </c>
      <c r="N93" s="4">
        <v>46241</v>
      </c>
      <c r="O93" s="4">
        <v>46241</v>
      </c>
      <c r="P93" s="3" t="s">
        <v>219</v>
      </c>
      <c r="Q93" s="3" t="s">
        <v>29</v>
      </c>
      <c r="R93" s="3" t="s">
        <v>26</v>
      </c>
      <c r="S93" s="3"/>
      <c r="T93" s="3"/>
      <c r="U93" s="5" t="s">
        <v>64</v>
      </c>
      <c r="V93" s="3">
        <v>709</v>
      </c>
      <c r="W93" s="3">
        <v>0</v>
      </c>
      <c r="X93" s="3" t="s">
        <v>97</v>
      </c>
      <c r="Y93" s="3" t="s">
        <v>97</v>
      </c>
      <c r="Z93" s="4">
        <v>46244</v>
      </c>
      <c r="AA93" s="5" t="s">
        <v>155</v>
      </c>
      <c r="AB93" s="3" t="s">
        <v>469</v>
      </c>
      <c r="AC93" s="3"/>
      <c r="AD93" s="9" t="s">
        <v>633</v>
      </c>
    </row>
    <row r="94" spans="1:30" ht="15" customHeight="1" x14ac:dyDescent="0.3">
      <c r="A94" s="8">
        <f t="shared" si="1"/>
        <v>92</v>
      </c>
      <c r="B94" s="3" t="s">
        <v>21</v>
      </c>
      <c r="C94" s="3" t="s">
        <v>53</v>
      </c>
      <c r="D94" s="3" t="s">
        <v>83</v>
      </c>
      <c r="E94" s="3" t="s">
        <v>85</v>
      </c>
      <c r="F94" s="3">
        <v>1427</v>
      </c>
      <c r="G94" s="4">
        <v>46235</v>
      </c>
      <c r="H94" s="4"/>
      <c r="I94" s="3" t="s">
        <v>34</v>
      </c>
      <c r="J94" s="3" t="s">
        <v>28</v>
      </c>
      <c r="K94" s="3">
        <v>10</v>
      </c>
      <c r="L94" s="3">
        <v>100</v>
      </c>
      <c r="M94" s="3" t="s">
        <v>32</v>
      </c>
      <c r="N94" s="4">
        <v>46241</v>
      </c>
      <c r="O94" s="4">
        <v>46241</v>
      </c>
      <c r="P94" s="3" t="s">
        <v>219</v>
      </c>
      <c r="Q94" s="3" t="s">
        <v>29</v>
      </c>
      <c r="R94" s="3" t="s">
        <v>26</v>
      </c>
      <c r="S94" s="3"/>
      <c r="T94" s="3"/>
      <c r="U94" s="5" t="s">
        <v>64</v>
      </c>
      <c r="V94" s="3">
        <v>709</v>
      </c>
      <c r="W94" s="3">
        <v>0</v>
      </c>
      <c r="X94" s="3" t="s">
        <v>97</v>
      </c>
      <c r="Y94" s="3" t="s">
        <v>97</v>
      </c>
      <c r="Z94" s="4">
        <v>46244</v>
      </c>
      <c r="AA94" s="5" t="s">
        <v>155</v>
      </c>
      <c r="AB94" s="3" t="s">
        <v>469</v>
      </c>
      <c r="AC94" s="3"/>
      <c r="AD94" s="9" t="s">
        <v>633</v>
      </c>
    </row>
    <row r="95" spans="1:30" ht="15" customHeight="1" x14ac:dyDescent="0.3">
      <c r="A95" s="8">
        <f t="shared" si="1"/>
        <v>93</v>
      </c>
      <c r="B95" s="3" t="s">
        <v>21</v>
      </c>
      <c r="C95" s="3" t="s">
        <v>53</v>
      </c>
      <c r="D95" s="3" t="s">
        <v>83</v>
      </c>
      <c r="E95" s="3" t="s">
        <v>87</v>
      </c>
      <c r="F95" s="3">
        <v>1428</v>
      </c>
      <c r="G95" s="4">
        <v>46235</v>
      </c>
      <c r="H95" s="4"/>
      <c r="I95" s="3" t="s">
        <v>31</v>
      </c>
      <c r="J95" s="3" t="s">
        <v>28</v>
      </c>
      <c r="K95" s="3">
        <v>6</v>
      </c>
      <c r="L95" s="3">
        <v>120</v>
      </c>
      <c r="M95" s="3" t="s">
        <v>32</v>
      </c>
      <c r="N95" s="4">
        <v>46241</v>
      </c>
      <c r="O95" s="4">
        <v>46241</v>
      </c>
      <c r="P95" s="3" t="s">
        <v>219</v>
      </c>
      <c r="Q95" s="3" t="s">
        <v>29</v>
      </c>
      <c r="R95" s="3" t="s">
        <v>26</v>
      </c>
      <c r="S95" s="3"/>
      <c r="T95" s="3"/>
      <c r="U95" s="5" t="s">
        <v>64</v>
      </c>
      <c r="V95" s="3">
        <v>709</v>
      </c>
      <c r="W95" s="3">
        <v>0</v>
      </c>
      <c r="X95" s="3" t="s">
        <v>97</v>
      </c>
      <c r="Y95" s="3" t="s">
        <v>97</v>
      </c>
      <c r="Z95" s="4">
        <v>46244</v>
      </c>
      <c r="AA95" s="5" t="s">
        <v>155</v>
      </c>
      <c r="AB95" s="3" t="s">
        <v>469</v>
      </c>
      <c r="AC95" s="3"/>
      <c r="AD95" s="9" t="s">
        <v>633</v>
      </c>
    </row>
    <row r="96" spans="1:30" ht="15" customHeight="1" x14ac:dyDescent="0.3">
      <c r="A96" s="8">
        <f t="shared" si="1"/>
        <v>94</v>
      </c>
      <c r="B96" s="3" t="s">
        <v>21</v>
      </c>
      <c r="C96" s="3" t="s">
        <v>88</v>
      </c>
      <c r="D96" s="3" t="s">
        <v>50</v>
      </c>
      <c r="E96" s="3" t="s">
        <v>86</v>
      </c>
      <c r="F96" s="3">
        <v>1429</v>
      </c>
      <c r="G96" s="4">
        <v>46235</v>
      </c>
      <c r="H96" s="4"/>
      <c r="I96" s="3" t="s">
        <v>34</v>
      </c>
      <c r="J96" s="3" t="s">
        <v>28</v>
      </c>
      <c r="K96" s="3">
        <v>20</v>
      </c>
      <c r="L96" s="3">
        <v>200</v>
      </c>
      <c r="M96" s="3" t="s">
        <v>32</v>
      </c>
      <c r="N96" s="4">
        <v>46241</v>
      </c>
      <c r="O96" s="4">
        <v>46241</v>
      </c>
      <c r="P96" s="3" t="s">
        <v>219</v>
      </c>
      <c r="Q96" s="3" t="s">
        <v>29</v>
      </c>
      <c r="R96" s="3" t="s">
        <v>26</v>
      </c>
      <c r="S96" s="3"/>
      <c r="T96" s="3"/>
      <c r="U96" s="5" t="s">
        <v>64</v>
      </c>
      <c r="V96" s="3">
        <v>709</v>
      </c>
      <c r="W96" s="3">
        <v>0</v>
      </c>
      <c r="X96" s="3" t="s">
        <v>97</v>
      </c>
      <c r="Y96" s="3" t="s">
        <v>97</v>
      </c>
      <c r="Z96" s="4">
        <v>46241</v>
      </c>
      <c r="AA96" s="3" t="s">
        <v>470</v>
      </c>
      <c r="AB96" s="3" t="s">
        <v>472</v>
      </c>
      <c r="AC96" s="3" t="s">
        <v>629</v>
      </c>
      <c r="AD96" s="9" t="s">
        <v>633</v>
      </c>
    </row>
    <row r="97" spans="1:30" ht="15" customHeight="1" x14ac:dyDescent="0.3">
      <c r="A97" s="8">
        <f t="shared" si="1"/>
        <v>95</v>
      </c>
      <c r="B97" s="3" t="s">
        <v>21</v>
      </c>
      <c r="C97" s="3" t="s">
        <v>89</v>
      </c>
      <c r="D97" s="3" t="s">
        <v>45</v>
      </c>
      <c r="E97" s="3" t="s">
        <v>90</v>
      </c>
      <c r="F97" s="3">
        <v>1430</v>
      </c>
      <c r="G97" s="4">
        <v>46235</v>
      </c>
      <c r="H97" s="4"/>
      <c r="I97" s="3" t="s">
        <v>31</v>
      </c>
      <c r="J97" s="3" t="s">
        <v>28</v>
      </c>
      <c r="K97" s="3">
        <v>12</v>
      </c>
      <c r="L97" s="3">
        <v>240</v>
      </c>
      <c r="M97" s="3" t="s">
        <v>32</v>
      </c>
      <c r="N97" s="4">
        <v>46255</v>
      </c>
      <c r="O97" s="4">
        <v>46259</v>
      </c>
      <c r="P97" s="3" t="s">
        <v>219</v>
      </c>
      <c r="Q97" s="3" t="s">
        <v>29</v>
      </c>
      <c r="R97" s="3" t="s">
        <v>26</v>
      </c>
      <c r="S97" s="3"/>
      <c r="T97" s="3"/>
      <c r="U97" s="5" t="s">
        <v>64</v>
      </c>
      <c r="V97" s="3">
        <v>709</v>
      </c>
      <c r="W97" s="3">
        <v>0</v>
      </c>
      <c r="X97" s="3" t="s">
        <v>97</v>
      </c>
      <c r="Y97" s="3" t="s">
        <v>97</v>
      </c>
      <c r="Z97" s="3"/>
      <c r="AA97" s="3"/>
      <c r="AB97" s="3"/>
      <c r="AC97" s="3"/>
      <c r="AD97" s="9" t="s">
        <v>633</v>
      </c>
    </row>
    <row r="98" spans="1:30" ht="15" customHeight="1" x14ac:dyDescent="0.3">
      <c r="A98" s="8">
        <f t="shared" si="1"/>
        <v>96</v>
      </c>
      <c r="B98" s="3" t="s">
        <v>21</v>
      </c>
      <c r="C98" s="3" t="s">
        <v>89</v>
      </c>
      <c r="D98" s="3" t="s">
        <v>45</v>
      </c>
      <c r="E98" s="3" t="s">
        <v>91</v>
      </c>
      <c r="F98" s="3">
        <v>1431</v>
      </c>
      <c r="G98" s="4">
        <v>46235</v>
      </c>
      <c r="H98" s="4"/>
      <c r="I98" s="3" t="s">
        <v>24</v>
      </c>
      <c r="J98" s="3" t="s">
        <v>28</v>
      </c>
      <c r="K98" s="3">
        <v>4</v>
      </c>
      <c r="L98" s="3">
        <v>48</v>
      </c>
      <c r="M98" s="3" t="s">
        <v>32</v>
      </c>
      <c r="N98" s="4">
        <v>46252</v>
      </c>
      <c r="O98" s="4">
        <v>46256</v>
      </c>
      <c r="P98" s="3" t="s">
        <v>219</v>
      </c>
      <c r="Q98" s="3" t="s">
        <v>29</v>
      </c>
      <c r="R98" s="3" t="s">
        <v>26</v>
      </c>
      <c r="S98" s="3"/>
      <c r="T98" s="3"/>
      <c r="U98" s="5" t="s">
        <v>64</v>
      </c>
      <c r="V98" s="3">
        <v>709</v>
      </c>
      <c r="W98" s="3">
        <v>0</v>
      </c>
      <c r="X98" s="3" t="s">
        <v>97</v>
      </c>
      <c r="Y98" s="3" t="s">
        <v>97</v>
      </c>
      <c r="Z98" s="4">
        <v>46256</v>
      </c>
      <c r="AA98" s="3" t="s">
        <v>308</v>
      </c>
      <c r="AB98" s="3" t="s">
        <v>472</v>
      </c>
      <c r="AC98" s="3" t="s">
        <v>629</v>
      </c>
      <c r="AD98" s="9" t="s">
        <v>633</v>
      </c>
    </row>
    <row r="99" spans="1:30" ht="15" customHeight="1" x14ac:dyDescent="0.3">
      <c r="A99" s="8">
        <f t="shared" si="1"/>
        <v>97</v>
      </c>
      <c r="B99" s="3" t="s">
        <v>21</v>
      </c>
      <c r="C99" s="3" t="s">
        <v>92</v>
      </c>
      <c r="D99" s="3" t="s">
        <v>93</v>
      </c>
      <c r="E99" s="3" t="s">
        <v>94</v>
      </c>
      <c r="F99" s="3">
        <v>1432</v>
      </c>
      <c r="G99" s="4">
        <v>46235</v>
      </c>
      <c r="H99" s="4"/>
      <c r="I99" s="3" t="s">
        <v>34</v>
      </c>
      <c r="J99" s="3" t="s">
        <v>28</v>
      </c>
      <c r="K99" s="3">
        <v>60</v>
      </c>
      <c r="L99" s="3">
        <v>600</v>
      </c>
      <c r="M99" s="3" t="s">
        <v>32</v>
      </c>
      <c r="N99" s="4">
        <v>46247</v>
      </c>
      <c r="O99" s="4">
        <v>46246</v>
      </c>
      <c r="P99" s="3" t="s">
        <v>219</v>
      </c>
      <c r="Q99" s="3" t="s">
        <v>29</v>
      </c>
      <c r="R99" s="3" t="s">
        <v>26</v>
      </c>
      <c r="S99" s="3"/>
      <c r="T99" s="3"/>
      <c r="U99" s="5" t="s">
        <v>64</v>
      </c>
      <c r="V99" s="3">
        <v>709</v>
      </c>
      <c r="W99" s="3">
        <v>0</v>
      </c>
      <c r="X99" s="3" t="s">
        <v>97</v>
      </c>
      <c r="Y99" s="3" t="s">
        <v>97</v>
      </c>
      <c r="Z99" s="4">
        <v>46246</v>
      </c>
      <c r="AA99" s="5" t="s">
        <v>308</v>
      </c>
      <c r="AB99" s="3" t="s">
        <v>472</v>
      </c>
      <c r="AC99" s="3" t="s">
        <v>629</v>
      </c>
      <c r="AD99" s="9" t="s">
        <v>633</v>
      </c>
    </row>
    <row r="100" spans="1:30" ht="15" customHeight="1" x14ac:dyDescent="0.3">
      <c r="A100" s="8">
        <f t="shared" si="1"/>
        <v>98</v>
      </c>
      <c r="B100" s="3" t="s">
        <v>21</v>
      </c>
      <c r="C100" s="3" t="s">
        <v>177</v>
      </c>
      <c r="D100" s="3" t="s">
        <v>178</v>
      </c>
      <c r="E100" s="3" t="s">
        <v>179</v>
      </c>
      <c r="F100" s="3">
        <v>1433</v>
      </c>
      <c r="G100" s="4">
        <v>46237</v>
      </c>
      <c r="H100" s="4"/>
      <c r="I100" s="3" t="s">
        <v>31</v>
      </c>
      <c r="J100" s="3" t="s">
        <v>28</v>
      </c>
      <c r="K100" s="3">
        <v>6</v>
      </c>
      <c r="L100" s="3">
        <v>120</v>
      </c>
      <c r="M100" s="3" t="s">
        <v>32</v>
      </c>
      <c r="N100" s="4">
        <v>46262</v>
      </c>
      <c r="O100" s="4">
        <v>46257</v>
      </c>
      <c r="P100" s="3" t="s">
        <v>219</v>
      </c>
      <c r="Q100" s="3" t="s">
        <v>29</v>
      </c>
      <c r="R100" s="3" t="s">
        <v>26</v>
      </c>
      <c r="S100" s="3"/>
      <c r="T100" s="3"/>
      <c r="U100" s="3" t="s">
        <v>27</v>
      </c>
      <c r="V100" s="3">
        <v>709</v>
      </c>
      <c r="W100" s="3">
        <v>0</v>
      </c>
      <c r="X100" s="3" t="s">
        <v>97</v>
      </c>
      <c r="Y100" s="3" t="s">
        <v>97</v>
      </c>
      <c r="Z100" s="4">
        <v>46253</v>
      </c>
      <c r="AA100" s="3" t="s">
        <v>597</v>
      </c>
      <c r="AB100" s="3" t="s">
        <v>609</v>
      </c>
      <c r="AC100" s="3" t="s">
        <v>627</v>
      </c>
      <c r="AD100" s="9" t="s">
        <v>633</v>
      </c>
    </row>
    <row r="101" spans="1:30" ht="15" customHeight="1" x14ac:dyDescent="0.3">
      <c r="A101" s="8">
        <f t="shared" si="1"/>
        <v>99</v>
      </c>
      <c r="B101" s="3" t="s">
        <v>21</v>
      </c>
      <c r="C101" s="3" t="s">
        <v>75</v>
      </c>
      <c r="D101" s="3" t="s">
        <v>76</v>
      </c>
      <c r="E101" s="3" t="s">
        <v>180</v>
      </c>
      <c r="F101" s="3">
        <v>1434</v>
      </c>
      <c r="G101" s="4">
        <v>46237</v>
      </c>
      <c r="H101" s="4"/>
      <c r="I101" s="3" t="s">
        <v>34</v>
      </c>
      <c r="J101" s="3" t="s">
        <v>28</v>
      </c>
      <c r="K101" s="3">
        <v>30</v>
      </c>
      <c r="L101" s="3">
        <v>300</v>
      </c>
      <c r="M101" s="3" t="s">
        <v>32</v>
      </c>
      <c r="N101" s="4">
        <v>46247</v>
      </c>
      <c r="O101" s="4">
        <v>46246</v>
      </c>
      <c r="P101" s="3" t="s">
        <v>219</v>
      </c>
      <c r="Q101" s="3" t="s">
        <v>29</v>
      </c>
      <c r="R101" s="3" t="s">
        <v>26</v>
      </c>
      <c r="S101" s="3"/>
      <c r="T101" s="3"/>
      <c r="U101" s="3" t="s">
        <v>27</v>
      </c>
      <c r="V101" s="3">
        <v>709</v>
      </c>
      <c r="W101" s="3">
        <v>0</v>
      </c>
      <c r="X101" s="3" t="s">
        <v>97</v>
      </c>
      <c r="Y101" s="3" t="s">
        <v>97</v>
      </c>
      <c r="Z101" s="4">
        <v>46246</v>
      </c>
      <c r="AA101" s="5" t="s">
        <v>308</v>
      </c>
      <c r="AB101" s="3" t="s">
        <v>472</v>
      </c>
      <c r="AC101" s="3" t="s">
        <v>629</v>
      </c>
      <c r="AD101" s="9" t="s">
        <v>633</v>
      </c>
    </row>
    <row r="102" spans="1:30" ht="15" customHeight="1" x14ac:dyDescent="0.3">
      <c r="A102" s="8">
        <f t="shared" si="1"/>
        <v>100</v>
      </c>
      <c r="B102" s="3" t="s">
        <v>21</v>
      </c>
      <c r="C102" s="3" t="s">
        <v>75</v>
      </c>
      <c r="D102" s="3" t="s">
        <v>76</v>
      </c>
      <c r="E102" s="3" t="s">
        <v>181</v>
      </c>
      <c r="F102" s="3">
        <v>1435</v>
      </c>
      <c r="G102" s="4">
        <v>46237</v>
      </c>
      <c r="H102" s="4"/>
      <c r="I102" s="3" t="s">
        <v>182</v>
      </c>
      <c r="J102" s="3" t="s">
        <v>28</v>
      </c>
      <c r="K102" s="3">
        <v>24</v>
      </c>
      <c r="L102" s="3">
        <v>480</v>
      </c>
      <c r="M102" s="3" t="s">
        <v>32</v>
      </c>
      <c r="N102" s="4">
        <v>46247</v>
      </c>
      <c r="O102" s="4">
        <v>46246</v>
      </c>
      <c r="P102" s="3" t="s">
        <v>219</v>
      </c>
      <c r="Q102" s="3" t="s">
        <v>29</v>
      </c>
      <c r="R102" s="3" t="s">
        <v>26</v>
      </c>
      <c r="S102" s="3"/>
      <c r="T102" s="3"/>
      <c r="U102" s="3" t="s">
        <v>27</v>
      </c>
      <c r="V102" s="3">
        <v>709</v>
      </c>
      <c r="W102" s="3">
        <v>0</v>
      </c>
      <c r="X102" s="3" t="s">
        <v>97</v>
      </c>
      <c r="Y102" s="3" t="s">
        <v>97</v>
      </c>
      <c r="Z102" s="4">
        <v>46246</v>
      </c>
      <c r="AA102" s="5" t="s">
        <v>308</v>
      </c>
      <c r="AB102" s="3" t="s">
        <v>472</v>
      </c>
      <c r="AC102" s="3" t="s">
        <v>629</v>
      </c>
      <c r="AD102" s="9" t="s">
        <v>633</v>
      </c>
    </row>
    <row r="103" spans="1:30" ht="15" customHeight="1" x14ac:dyDescent="0.3">
      <c r="A103" s="8">
        <f t="shared" si="1"/>
        <v>101</v>
      </c>
      <c r="B103" s="3" t="s">
        <v>21</v>
      </c>
      <c r="C103" s="3" t="s">
        <v>72</v>
      </c>
      <c r="D103" s="3" t="s">
        <v>73</v>
      </c>
      <c r="E103" s="3" t="s">
        <v>71</v>
      </c>
      <c r="F103" s="3">
        <v>1436</v>
      </c>
      <c r="G103" s="4">
        <v>46235</v>
      </c>
      <c r="H103" s="4"/>
      <c r="I103" s="3" t="s">
        <v>60</v>
      </c>
      <c r="J103" s="3" t="s">
        <v>28</v>
      </c>
      <c r="K103" s="3">
        <v>100</v>
      </c>
      <c r="L103" s="3">
        <v>1000</v>
      </c>
      <c r="M103" s="3" t="s">
        <v>32</v>
      </c>
      <c r="N103" s="4">
        <v>46247</v>
      </c>
      <c r="O103" s="4">
        <v>46246</v>
      </c>
      <c r="P103" s="3" t="s">
        <v>219</v>
      </c>
      <c r="Q103" s="3" t="s">
        <v>29</v>
      </c>
      <c r="R103" s="3" t="s">
        <v>26</v>
      </c>
      <c r="S103" s="3"/>
      <c r="T103" s="3"/>
      <c r="U103" s="5" t="s">
        <v>64</v>
      </c>
      <c r="V103" s="3">
        <v>709</v>
      </c>
      <c r="W103" s="3">
        <v>0</v>
      </c>
      <c r="X103" s="3" t="s">
        <v>97</v>
      </c>
      <c r="Y103" s="3" t="s">
        <v>97</v>
      </c>
      <c r="Z103" s="4">
        <v>46246</v>
      </c>
      <c r="AA103" s="5" t="s">
        <v>308</v>
      </c>
      <c r="AB103" s="3" t="s">
        <v>472</v>
      </c>
      <c r="AC103" s="3" t="s">
        <v>629</v>
      </c>
      <c r="AD103" s="9" t="s">
        <v>633</v>
      </c>
    </row>
    <row r="104" spans="1:30" ht="15" customHeight="1" x14ac:dyDescent="0.3">
      <c r="A104" s="8">
        <f t="shared" si="1"/>
        <v>102</v>
      </c>
      <c r="B104" s="3" t="s">
        <v>21</v>
      </c>
      <c r="C104" s="3" t="s">
        <v>98</v>
      </c>
      <c r="D104" s="3" t="s">
        <v>99</v>
      </c>
      <c r="E104" s="3">
        <v>716286937</v>
      </c>
      <c r="F104" s="18">
        <v>1437</v>
      </c>
      <c r="G104" s="4">
        <v>46238</v>
      </c>
      <c r="H104" s="4"/>
      <c r="I104" s="3" t="s">
        <v>100</v>
      </c>
      <c r="J104" s="3" t="s">
        <v>28</v>
      </c>
      <c r="K104" s="3">
        <v>300</v>
      </c>
      <c r="L104" s="3">
        <v>6000</v>
      </c>
      <c r="M104" s="3" t="s">
        <v>96</v>
      </c>
      <c r="N104" s="4">
        <v>46240</v>
      </c>
      <c r="O104" s="4">
        <v>46240</v>
      </c>
      <c r="P104" s="3" t="s">
        <v>219</v>
      </c>
      <c r="Q104" s="3" t="s">
        <v>29</v>
      </c>
      <c r="R104" s="3" t="s">
        <v>26</v>
      </c>
      <c r="S104" s="3"/>
      <c r="T104" s="3"/>
      <c r="U104" s="5" t="s">
        <v>102</v>
      </c>
      <c r="V104" s="3">
        <v>709</v>
      </c>
      <c r="W104" s="3">
        <v>0</v>
      </c>
      <c r="X104" s="3" t="s">
        <v>97</v>
      </c>
      <c r="Y104" s="3" t="s">
        <v>97</v>
      </c>
      <c r="Z104" s="4">
        <v>46240</v>
      </c>
      <c r="AA104" s="5" t="s">
        <v>102</v>
      </c>
      <c r="AB104" s="3" t="s">
        <v>480</v>
      </c>
      <c r="AC104" s="3" t="s">
        <v>616</v>
      </c>
      <c r="AD104" s="7" t="s">
        <v>633</v>
      </c>
    </row>
    <row r="105" spans="1:30" ht="15" customHeight="1" x14ac:dyDescent="0.3">
      <c r="A105" s="8">
        <f t="shared" si="1"/>
        <v>103</v>
      </c>
      <c r="B105" s="3" t="s">
        <v>21</v>
      </c>
      <c r="C105" s="3" t="s">
        <v>98</v>
      </c>
      <c r="D105" s="3" t="s">
        <v>99</v>
      </c>
      <c r="E105" s="3">
        <v>716286935</v>
      </c>
      <c r="F105" s="18">
        <v>1438</v>
      </c>
      <c r="G105" s="4">
        <v>46238</v>
      </c>
      <c r="H105" s="4"/>
      <c r="I105" s="3" t="s">
        <v>100</v>
      </c>
      <c r="J105" s="3" t="s">
        <v>28</v>
      </c>
      <c r="K105" s="3">
        <v>300</v>
      </c>
      <c r="L105" s="3">
        <v>6000</v>
      </c>
      <c r="M105" s="3" t="s">
        <v>96</v>
      </c>
      <c r="N105" s="4">
        <v>46240</v>
      </c>
      <c r="O105" s="4">
        <v>46240</v>
      </c>
      <c r="P105" s="3" t="s">
        <v>219</v>
      </c>
      <c r="Q105" s="3" t="s">
        <v>29</v>
      </c>
      <c r="R105" s="3" t="s">
        <v>26</v>
      </c>
      <c r="S105" s="3"/>
      <c r="T105" s="3"/>
      <c r="U105" s="5" t="s">
        <v>101</v>
      </c>
      <c r="V105" s="3">
        <v>709</v>
      </c>
      <c r="W105" s="3">
        <v>0</v>
      </c>
      <c r="X105" s="3" t="s">
        <v>97</v>
      </c>
      <c r="Y105" s="3" t="s">
        <v>97</v>
      </c>
      <c r="Z105" s="4">
        <v>46240</v>
      </c>
      <c r="AA105" s="5" t="s">
        <v>101</v>
      </c>
      <c r="AB105" s="3" t="s">
        <v>480</v>
      </c>
      <c r="AC105" s="3" t="s">
        <v>617</v>
      </c>
      <c r="AD105" s="7" t="s">
        <v>633</v>
      </c>
    </row>
    <row r="106" spans="1:30" ht="15" customHeight="1" x14ac:dyDescent="0.3">
      <c r="A106" s="8">
        <f t="shared" si="1"/>
        <v>104</v>
      </c>
      <c r="B106" s="3" t="s">
        <v>21</v>
      </c>
      <c r="C106" s="3" t="s">
        <v>98</v>
      </c>
      <c r="D106" s="3" t="s">
        <v>99</v>
      </c>
      <c r="E106" s="3">
        <v>716286936</v>
      </c>
      <c r="F106" s="18">
        <v>1439</v>
      </c>
      <c r="G106" s="4">
        <v>46238</v>
      </c>
      <c r="H106" s="4"/>
      <c r="I106" s="3" t="s">
        <v>100</v>
      </c>
      <c r="J106" s="3" t="s">
        <v>28</v>
      </c>
      <c r="K106" s="3">
        <v>300</v>
      </c>
      <c r="L106" s="3">
        <v>6000</v>
      </c>
      <c r="M106" s="3" t="s">
        <v>96</v>
      </c>
      <c r="N106" s="4">
        <v>46240</v>
      </c>
      <c r="O106" s="4">
        <v>46240</v>
      </c>
      <c r="P106" s="3" t="s">
        <v>219</v>
      </c>
      <c r="Q106" s="3" t="s">
        <v>29</v>
      </c>
      <c r="R106" s="3" t="s">
        <v>26</v>
      </c>
      <c r="S106" s="3"/>
      <c r="T106" s="3"/>
      <c r="U106" s="5" t="s">
        <v>103</v>
      </c>
      <c r="V106" s="3">
        <v>709</v>
      </c>
      <c r="W106" s="3">
        <v>0</v>
      </c>
      <c r="X106" s="3" t="s">
        <v>97</v>
      </c>
      <c r="Y106" s="3" t="s">
        <v>97</v>
      </c>
      <c r="Z106" s="4">
        <v>46240</v>
      </c>
      <c r="AA106" s="5" t="s">
        <v>103</v>
      </c>
      <c r="AB106" s="3" t="s">
        <v>480</v>
      </c>
      <c r="AC106" s="3" t="s">
        <v>618</v>
      </c>
      <c r="AD106" s="7" t="s">
        <v>633</v>
      </c>
    </row>
    <row r="107" spans="1:30" ht="15" customHeight="1" x14ac:dyDescent="0.3">
      <c r="A107" s="8">
        <f t="shared" si="1"/>
        <v>105</v>
      </c>
      <c r="B107" s="3" t="s">
        <v>21</v>
      </c>
      <c r="C107" s="3" t="s">
        <v>183</v>
      </c>
      <c r="D107" s="3" t="s">
        <v>441</v>
      </c>
      <c r="E107" s="3">
        <v>716287010</v>
      </c>
      <c r="F107" s="3">
        <v>1440</v>
      </c>
      <c r="G107" s="4">
        <v>46238</v>
      </c>
      <c r="H107" s="4"/>
      <c r="I107" s="3" t="s">
        <v>100</v>
      </c>
      <c r="J107" s="3" t="s">
        <v>28</v>
      </c>
      <c r="K107" s="3">
        <v>100</v>
      </c>
      <c r="L107" s="3">
        <v>2000</v>
      </c>
      <c r="M107" s="3" t="s">
        <v>32</v>
      </c>
      <c r="N107" s="4">
        <v>46240</v>
      </c>
      <c r="O107" s="4">
        <v>46240</v>
      </c>
      <c r="P107" s="3" t="s">
        <v>219</v>
      </c>
      <c r="Q107" s="3" t="s">
        <v>29</v>
      </c>
      <c r="R107" s="3" t="s">
        <v>26</v>
      </c>
      <c r="S107" s="3"/>
      <c r="T107" s="3"/>
      <c r="U107" s="3" t="s">
        <v>27</v>
      </c>
      <c r="V107" s="3">
        <v>709</v>
      </c>
      <c r="W107" s="3">
        <v>0</v>
      </c>
      <c r="X107" s="3" t="s">
        <v>97</v>
      </c>
      <c r="Y107" s="3" t="s">
        <v>97</v>
      </c>
      <c r="Z107" s="4">
        <v>46240</v>
      </c>
      <c r="AA107" s="3" t="s">
        <v>64</v>
      </c>
      <c r="AB107" s="3" t="s">
        <v>479</v>
      </c>
      <c r="AC107" s="3" t="s">
        <v>613</v>
      </c>
      <c r="AD107" s="9" t="s">
        <v>633</v>
      </c>
    </row>
    <row r="108" spans="1:30" ht="15" customHeight="1" x14ac:dyDescent="0.3">
      <c r="A108" s="8">
        <f t="shared" si="1"/>
        <v>106</v>
      </c>
      <c r="B108" s="3" t="s">
        <v>21</v>
      </c>
      <c r="C108" s="3" t="s">
        <v>105</v>
      </c>
      <c r="D108" s="3" t="s">
        <v>106</v>
      </c>
      <c r="E108" s="3" t="s">
        <v>107</v>
      </c>
      <c r="F108" s="18">
        <v>1441</v>
      </c>
      <c r="G108" s="4">
        <v>46238</v>
      </c>
      <c r="H108" s="4"/>
      <c r="I108" s="3" t="s">
        <v>34</v>
      </c>
      <c r="J108" s="3" t="s">
        <v>28</v>
      </c>
      <c r="K108" s="3">
        <v>35</v>
      </c>
      <c r="L108" s="3">
        <v>350</v>
      </c>
      <c r="M108" s="3" t="s">
        <v>32</v>
      </c>
      <c r="N108" s="4">
        <v>46258</v>
      </c>
      <c r="O108" s="4">
        <v>46263</v>
      </c>
      <c r="P108" s="3" t="s">
        <v>219</v>
      </c>
      <c r="Q108" s="3" t="s">
        <v>29</v>
      </c>
      <c r="R108" s="3" t="s">
        <v>26</v>
      </c>
      <c r="S108" s="3"/>
      <c r="T108" s="3"/>
      <c r="U108" s="5" t="s">
        <v>104</v>
      </c>
      <c r="V108" s="3">
        <v>709</v>
      </c>
      <c r="W108" s="3">
        <v>0</v>
      </c>
      <c r="X108" s="3" t="s">
        <v>97</v>
      </c>
      <c r="Y108" s="3" t="s">
        <v>97</v>
      </c>
      <c r="Z108" s="4">
        <v>46254</v>
      </c>
      <c r="AA108" s="3" t="s">
        <v>610</v>
      </c>
      <c r="AB108" s="3" t="s">
        <v>469</v>
      </c>
      <c r="AC108" s="3"/>
      <c r="AD108" s="9" t="s">
        <v>633</v>
      </c>
    </row>
    <row r="109" spans="1:30" ht="15" customHeight="1" x14ac:dyDescent="0.3">
      <c r="A109" s="8">
        <f t="shared" si="1"/>
        <v>107</v>
      </c>
      <c r="B109" s="3" t="s">
        <v>21</v>
      </c>
      <c r="C109" s="3" t="s">
        <v>105</v>
      </c>
      <c r="D109" s="3" t="s">
        <v>106</v>
      </c>
      <c r="E109" s="3" t="s">
        <v>108</v>
      </c>
      <c r="F109" s="18">
        <v>1442</v>
      </c>
      <c r="G109" s="4">
        <v>46238</v>
      </c>
      <c r="H109" s="4"/>
      <c r="I109" s="3" t="s">
        <v>31</v>
      </c>
      <c r="J109" s="3" t="s">
        <v>28</v>
      </c>
      <c r="K109" s="3">
        <v>3</v>
      </c>
      <c r="L109" s="3">
        <v>60</v>
      </c>
      <c r="M109" s="3" t="s">
        <v>32</v>
      </c>
      <c r="N109" s="4">
        <v>46258</v>
      </c>
      <c r="O109" s="4">
        <v>46263</v>
      </c>
      <c r="P109" s="3" t="s">
        <v>219</v>
      </c>
      <c r="Q109" s="3" t="s">
        <v>29</v>
      </c>
      <c r="R109" s="3" t="s">
        <v>26</v>
      </c>
      <c r="S109" s="3"/>
      <c r="T109" s="3"/>
      <c r="U109" s="5" t="s">
        <v>104</v>
      </c>
      <c r="V109" s="3">
        <v>709</v>
      </c>
      <c r="W109" s="3">
        <v>0</v>
      </c>
      <c r="X109" s="3" t="s">
        <v>97</v>
      </c>
      <c r="Y109" s="3" t="s">
        <v>97</v>
      </c>
      <c r="Z109" s="4">
        <v>46254</v>
      </c>
      <c r="AA109" s="3" t="s">
        <v>610</v>
      </c>
      <c r="AB109" s="3" t="s">
        <v>469</v>
      </c>
      <c r="AC109" s="3"/>
      <c r="AD109" s="9" t="s">
        <v>633</v>
      </c>
    </row>
    <row r="110" spans="1:30" ht="15" customHeight="1" x14ac:dyDescent="0.3">
      <c r="A110" s="8">
        <f t="shared" si="1"/>
        <v>108</v>
      </c>
      <c r="B110" s="3" t="s">
        <v>21</v>
      </c>
      <c r="C110" s="3" t="s">
        <v>105</v>
      </c>
      <c r="D110" s="3" t="s">
        <v>106</v>
      </c>
      <c r="E110" s="3" t="s">
        <v>109</v>
      </c>
      <c r="F110" s="18">
        <v>1443</v>
      </c>
      <c r="G110" s="4">
        <v>46238</v>
      </c>
      <c r="H110" s="4"/>
      <c r="I110" s="3" t="s">
        <v>24</v>
      </c>
      <c r="J110" s="3" t="s">
        <v>28</v>
      </c>
      <c r="K110" s="3">
        <v>4</v>
      </c>
      <c r="L110" s="3">
        <v>48</v>
      </c>
      <c r="M110" s="3" t="s">
        <v>32</v>
      </c>
      <c r="N110" s="4">
        <v>46258</v>
      </c>
      <c r="O110" s="4">
        <v>46263</v>
      </c>
      <c r="P110" s="3" t="s">
        <v>219</v>
      </c>
      <c r="Q110" s="3" t="s">
        <v>29</v>
      </c>
      <c r="R110" s="3" t="s">
        <v>26</v>
      </c>
      <c r="S110" s="3"/>
      <c r="T110" s="3"/>
      <c r="U110" s="5" t="s">
        <v>104</v>
      </c>
      <c r="V110" s="3">
        <v>709</v>
      </c>
      <c r="W110" s="3">
        <v>0</v>
      </c>
      <c r="X110" s="3" t="s">
        <v>97</v>
      </c>
      <c r="Y110" s="3" t="s">
        <v>97</v>
      </c>
      <c r="Z110" s="4">
        <v>46254</v>
      </c>
      <c r="AA110" s="3" t="s">
        <v>610</v>
      </c>
      <c r="AB110" s="3" t="s">
        <v>469</v>
      </c>
      <c r="AC110" s="3"/>
      <c r="AD110" s="9" t="s">
        <v>633</v>
      </c>
    </row>
    <row r="111" spans="1:30" ht="15" customHeight="1" x14ac:dyDescent="0.3">
      <c r="A111" s="8">
        <f t="shared" si="1"/>
        <v>109</v>
      </c>
      <c r="B111" s="3" t="s">
        <v>21</v>
      </c>
      <c r="C111" s="3" t="s">
        <v>110</v>
      </c>
      <c r="D111" s="3" t="s">
        <v>111</v>
      </c>
      <c r="E111" s="3" t="s">
        <v>112</v>
      </c>
      <c r="F111" s="3">
        <v>1444</v>
      </c>
      <c r="G111" s="4">
        <v>46238</v>
      </c>
      <c r="H111" s="4"/>
      <c r="I111" s="3" t="s">
        <v>31</v>
      </c>
      <c r="J111" s="3" t="s">
        <v>28</v>
      </c>
      <c r="K111" s="3">
        <v>18</v>
      </c>
      <c r="L111" s="3">
        <v>360</v>
      </c>
      <c r="M111" s="3" t="s">
        <v>32</v>
      </c>
      <c r="N111" s="4">
        <v>46254</v>
      </c>
      <c r="O111" s="4">
        <v>46251</v>
      </c>
      <c r="P111" s="3" t="s">
        <v>219</v>
      </c>
      <c r="Q111" s="3" t="s">
        <v>29</v>
      </c>
      <c r="R111" s="3" t="s">
        <v>26</v>
      </c>
      <c r="S111" s="3"/>
      <c r="T111" s="3"/>
      <c r="U111" s="5" t="s">
        <v>104</v>
      </c>
      <c r="V111" s="3">
        <v>709</v>
      </c>
      <c r="W111" s="3">
        <v>0</v>
      </c>
      <c r="X111" s="3" t="s">
        <v>97</v>
      </c>
      <c r="Y111" s="3" t="s">
        <v>97</v>
      </c>
      <c r="Z111" s="4">
        <v>46250</v>
      </c>
      <c r="AA111" s="3" t="s">
        <v>308</v>
      </c>
      <c r="AB111" s="3" t="s">
        <v>472</v>
      </c>
      <c r="AC111" s="3" t="s">
        <v>629</v>
      </c>
      <c r="AD111" s="9" t="s">
        <v>633</v>
      </c>
    </row>
    <row r="112" spans="1:30" ht="15" customHeight="1" x14ac:dyDescent="0.3">
      <c r="A112" s="8">
        <f t="shared" si="1"/>
        <v>110</v>
      </c>
      <c r="B112" s="3" t="s">
        <v>21</v>
      </c>
      <c r="C112" s="3" t="s">
        <v>113</v>
      </c>
      <c r="D112" s="3" t="s">
        <v>114</v>
      </c>
      <c r="E112" s="3" t="s">
        <v>115</v>
      </c>
      <c r="F112" s="3">
        <v>1445</v>
      </c>
      <c r="G112" s="4">
        <v>46238</v>
      </c>
      <c r="H112" s="4"/>
      <c r="I112" s="3" t="s">
        <v>31</v>
      </c>
      <c r="J112" s="3" t="s">
        <v>28</v>
      </c>
      <c r="K112" s="3">
        <v>15</v>
      </c>
      <c r="L112" s="3">
        <v>300</v>
      </c>
      <c r="M112" s="3" t="s">
        <v>32</v>
      </c>
      <c r="N112" s="4">
        <v>46247</v>
      </c>
      <c r="O112" s="4">
        <v>46246</v>
      </c>
      <c r="P112" s="3" t="s">
        <v>219</v>
      </c>
      <c r="Q112" s="3" t="s">
        <v>29</v>
      </c>
      <c r="R112" s="3" t="s">
        <v>26</v>
      </c>
      <c r="S112" s="3"/>
      <c r="T112" s="3"/>
      <c r="U112" s="5" t="s">
        <v>104</v>
      </c>
      <c r="V112" s="3">
        <v>709</v>
      </c>
      <c r="W112" s="3">
        <v>0</v>
      </c>
      <c r="X112" s="3" t="s">
        <v>97</v>
      </c>
      <c r="Y112" s="3" t="s">
        <v>97</v>
      </c>
      <c r="Z112" s="4">
        <v>46246</v>
      </c>
      <c r="AA112" s="5" t="s">
        <v>308</v>
      </c>
      <c r="AB112" s="3" t="s">
        <v>472</v>
      </c>
      <c r="AC112" s="3" t="s">
        <v>629</v>
      </c>
      <c r="AD112" s="9" t="s">
        <v>633</v>
      </c>
    </row>
    <row r="113" spans="1:30" ht="15" customHeight="1" x14ac:dyDescent="0.3">
      <c r="A113" s="8">
        <f t="shared" si="1"/>
        <v>111</v>
      </c>
      <c r="B113" s="3" t="s">
        <v>21</v>
      </c>
      <c r="C113" s="3" t="s">
        <v>116</v>
      </c>
      <c r="D113" s="3" t="s">
        <v>537</v>
      </c>
      <c r="E113" s="3" t="s">
        <v>118</v>
      </c>
      <c r="F113" s="3">
        <v>1446</v>
      </c>
      <c r="G113" s="4">
        <v>46238</v>
      </c>
      <c r="H113" s="4"/>
      <c r="I113" s="3" t="s">
        <v>31</v>
      </c>
      <c r="J113" s="3" t="s">
        <v>28</v>
      </c>
      <c r="K113" s="3">
        <v>6</v>
      </c>
      <c r="L113" s="3">
        <v>120</v>
      </c>
      <c r="M113" s="3" t="s">
        <v>32</v>
      </c>
      <c r="N113" s="4">
        <v>46254</v>
      </c>
      <c r="O113" s="4">
        <v>46251</v>
      </c>
      <c r="P113" s="3" t="s">
        <v>219</v>
      </c>
      <c r="Q113" s="3" t="s">
        <v>29</v>
      </c>
      <c r="R113" s="3" t="s">
        <v>26</v>
      </c>
      <c r="S113" s="3"/>
      <c r="T113" s="3"/>
      <c r="U113" s="5" t="s">
        <v>104</v>
      </c>
      <c r="V113" s="3">
        <v>709</v>
      </c>
      <c r="W113" s="3">
        <v>0</v>
      </c>
      <c r="X113" s="3" t="s">
        <v>97</v>
      </c>
      <c r="Y113" s="3" t="s">
        <v>97</v>
      </c>
      <c r="Z113" s="4">
        <v>46250</v>
      </c>
      <c r="AA113" s="3" t="s">
        <v>308</v>
      </c>
      <c r="AB113" s="3" t="s">
        <v>472</v>
      </c>
      <c r="AC113" s="3" t="s">
        <v>629</v>
      </c>
      <c r="AD113" s="9" t="s">
        <v>633</v>
      </c>
    </row>
    <row r="114" spans="1:30" ht="15" customHeight="1" x14ac:dyDescent="0.3">
      <c r="A114" s="8">
        <f t="shared" si="1"/>
        <v>112</v>
      </c>
      <c r="B114" s="3" t="s">
        <v>21</v>
      </c>
      <c r="C114" s="3" t="s">
        <v>116</v>
      </c>
      <c r="D114" s="3" t="s">
        <v>537</v>
      </c>
      <c r="E114" s="3" t="s">
        <v>119</v>
      </c>
      <c r="F114" s="3">
        <v>1447</v>
      </c>
      <c r="G114" s="4">
        <v>46238</v>
      </c>
      <c r="H114" s="4"/>
      <c r="I114" s="3" t="s">
        <v>34</v>
      </c>
      <c r="J114" s="3" t="s">
        <v>28</v>
      </c>
      <c r="K114" s="3">
        <v>20</v>
      </c>
      <c r="L114" s="3">
        <v>200</v>
      </c>
      <c r="M114" s="3" t="s">
        <v>32</v>
      </c>
      <c r="N114" s="4">
        <v>46254</v>
      </c>
      <c r="O114" s="4">
        <v>46251</v>
      </c>
      <c r="P114" s="3" t="s">
        <v>219</v>
      </c>
      <c r="Q114" s="3" t="s">
        <v>29</v>
      </c>
      <c r="R114" s="3" t="s">
        <v>26</v>
      </c>
      <c r="S114" s="3"/>
      <c r="T114" s="3"/>
      <c r="U114" s="5" t="s">
        <v>104</v>
      </c>
      <c r="V114" s="3">
        <v>709</v>
      </c>
      <c r="W114" s="3">
        <v>0</v>
      </c>
      <c r="X114" s="3" t="s">
        <v>97</v>
      </c>
      <c r="Y114" s="3" t="s">
        <v>97</v>
      </c>
      <c r="Z114" s="4">
        <v>46250</v>
      </c>
      <c r="AA114" s="3" t="s">
        <v>308</v>
      </c>
      <c r="AB114" s="3" t="s">
        <v>472</v>
      </c>
      <c r="AC114" s="3" t="s">
        <v>629</v>
      </c>
      <c r="AD114" s="9" t="s">
        <v>633</v>
      </c>
    </row>
    <row r="115" spans="1:30" ht="15" customHeight="1" x14ac:dyDescent="0.3">
      <c r="A115" s="8">
        <f t="shared" si="1"/>
        <v>113</v>
      </c>
      <c r="B115" s="3" t="s">
        <v>21</v>
      </c>
      <c r="C115" s="3" t="s">
        <v>120</v>
      </c>
      <c r="D115" s="3" t="s">
        <v>121</v>
      </c>
      <c r="E115" s="3" t="s">
        <v>122</v>
      </c>
      <c r="F115" s="3">
        <v>1448</v>
      </c>
      <c r="G115" s="4">
        <v>46238</v>
      </c>
      <c r="H115" s="4"/>
      <c r="I115" s="3" t="s">
        <v>31</v>
      </c>
      <c r="J115" s="3" t="s">
        <v>28</v>
      </c>
      <c r="K115" s="3">
        <v>9</v>
      </c>
      <c r="L115" s="3">
        <v>180</v>
      </c>
      <c r="M115" s="3" t="s">
        <v>32</v>
      </c>
      <c r="N115" s="4">
        <v>46241</v>
      </c>
      <c r="O115" s="4">
        <v>46241</v>
      </c>
      <c r="P115" s="3" t="s">
        <v>219</v>
      </c>
      <c r="Q115" s="3" t="s">
        <v>29</v>
      </c>
      <c r="R115" s="3" t="s">
        <v>26</v>
      </c>
      <c r="S115" s="3"/>
      <c r="T115" s="3"/>
      <c r="U115" s="5" t="s">
        <v>104</v>
      </c>
      <c r="V115" s="3">
        <v>709</v>
      </c>
      <c r="W115" s="3">
        <v>0</v>
      </c>
      <c r="X115" s="3" t="s">
        <v>97</v>
      </c>
      <c r="Y115" s="3" t="s">
        <v>97</v>
      </c>
      <c r="Z115" s="4">
        <v>46244</v>
      </c>
      <c r="AA115" s="5" t="s">
        <v>155</v>
      </c>
      <c r="AB115" s="3" t="s">
        <v>469</v>
      </c>
      <c r="AC115" s="3"/>
      <c r="AD115" s="9" t="s">
        <v>633</v>
      </c>
    </row>
    <row r="116" spans="1:30" ht="15" customHeight="1" x14ac:dyDescent="0.3">
      <c r="A116" s="8">
        <f t="shared" si="1"/>
        <v>114</v>
      </c>
      <c r="B116" s="3" t="s">
        <v>21</v>
      </c>
      <c r="C116" s="3" t="s">
        <v>120</v>
      </c>
      <c r="D116" s="3" t="s">
        <v>121</v>
      </c>
      <c r="E116" s="3" t="s">
        <v>123</v>
      </c>
      <c r="F116" s="3">
        <v>1449</v>
      </c>
      <c r="G116" s="4">
        <v>46238</v>
      </c>
      <c r="H116" s="4"/>
      <c r="I116" s="3" t="s">
        <v>34</v>
      </c>
      <c r="J116" s="3" t="s">
        <v>28</v>
      </c>
      <c r="K116" s="3">
        <v>10</v>
      </c>
      <c r="L116" s="3">
        <v>100</v>
      </c>
      <c r="M116" s="3" t="s">
        <v>32</v>
      </c>
      <c r="N116" s="4">
        <v>46241</v>
      </c>
      <c r="O116" s="4">
        <v>46241</v>
      </c>
      <c r="P116" s="3" t="s">
        <v>219</v>
      </c>
      <c r="Q116" s="3" t="s">
        <v>29</v>
      </c>
      <c r="R116" s="3" t="s">
        <v>26</v>
      </c>
      <c r="S116" s="3"/>
      <c r="T116" s="3"/>
      <c r="U116" s="5" t="s">
        <v>104</v>
      </c>
      <c r="V116" s="3">
        <v>709</v>
      </c>
      <c r="W116" s="3">
        <v>0</v>
      </c>
      <c r="X116" s="3" t="s">
        <v>97</v>
      </c>
      <c r="Y116" s="3" t="s">
        <v>97</v>
      </c>
      <c r="Z116" s="4">
        <v>46244</v>
      </c>
      <c r="AA116" s="5" t="s">
        <v>155</v>
      </c>
      <c r="AB116" s="3" t="s">
        <v>469</v>
      </c>
      <c r="AC116" s="3"/>
      <c r="AD116" s="9" t="s">
        <v>633</v>
      </c>
    </row>
    <row r="117" spans="1:30" ht="15" customHeight="1" x14ac:dyDescent="0.3">
      <c r="A117" s="8">
        <f t="shared" si="1"/>
        <v>115</v>
      </c>
      <c r="B117" s="3" t="s">
        <v>21</v>
      </c>
      <c r="C117" s="3" t="s">
        <v>124</v>
      </c>
      <c r="D117" s="3" t="s">
        <v>125</v>
      </c>
      <c r="E117" s="3" t="s">
        <v>126</v>
      </c>
      <c r="F117" s="3">
        <v>1450</v>
      </c>
      <c r="G117" s="4">
        <v>46238</v>
      </c>
      <c r="H117" s="4"/>
      <c r="I117" s="3" t="s">
        <v>31</v>
      </c>
      <c r="J117" s="3" t="s">
        <v>28</v>
      </c>
      <c r="K117" s="3">
        <v>18</v>
      </c>
      <c r="L117" s="3">
        <v>360</v>
      </c>
      <c r="M117" s="3" t="s">
        <v>32</v>
      </c>
      <c r="N117" s="4">
        <v>46247</v>
      </c>
      <c r="O117" s="4">
        <v>46246</v>
      </c>
      <c r="P117" s="3" t="s">
        <v>219</v>
      </c>
      <c r="Q117" s="3" t="s">
        <v>29</v>
      </c>
      <c r="R117" s="3" t="s">
        <v>26</v>
      </c>
      <c r="S117" s="3"/>
      <c r="T117" s="3"/>
      <c r="U117" s="5" t="s">
        <v>104</v>
      </c>
      <c r="V117" s="3">
        <v>709</v>
      </c>
      <c r="W117" s="3">
        <v>0</v>
      </c>
      <c r="X117" s="3" t="s">
        <v>97</v>
      </c>
      <c r="Y117" s="3" t="s">
        <v>97</v>
      </c>
      <c r="Z117" s="4">
        <v>46246</v>
      </c>
      <c r="AA117" s="5" t="s">
        <v>308</v>
      </c>
      <c r="AB117" s="3" t="s">
        <v>472</v>
      </c>
      <c r="AC117" s="3" t="s">
        <v>629</v>
      </c>
      <c r="AD117" s="9" t="s">
        <v>633</v>
      </c>
    </row>
    <row r="118" spans="1:30" ht="15" customHeight="1" x14ac:dyDescent="0.3">
      <c r="A118" s="8">
        <f t="shared" si="1"/>
        <v>116</v>
      </c>
      <c r="B118" s="3" t="s">
        <v>21</v>
      </c>
      <c r="C118" s="3" t="s">
        <v>127</v>
      </c>
      <c r="D118" s="3" t="s">
        <v>128</v>
      </c>
      <c r="E118" s="3" t="s">
        <v>129</v>
      </c>
      <c r="F118" s="3">
        <v>1451</v>
      </c>
      <c r="G118" s="4">
        <v>46238</v>
      </c>
      <c r="H118" s="4"/>
      <c r="I118" s="3" t="s">
        <v>31</v>
      </c>
      <c r="J118" s="3" t="s">
        <v>28</v>
      </c>
      <c r="K118" s="3">
        <v>12</v>
      </c>
      <c r="L118" s="3">
        <v>240</v>
      </c>
      <c r="M118" s="3" t="s">
        <v>32</v>
      </c>
      <c r="N118" s="4">
        <v>46254</v>
      </c>
      <c r="O118" s="4">
        <v>46254</v>
      </c>
      <c r="P118" s="3" t="s">
        <v>219</v>
      </c>
      <c r="Q118" s="3" t="s">
        <v>29</v>
      </c>
      <c r="R118" s="3" t="s">
        <v>26</v>
      </c>
      <c r="S118" s="3"/>
      <c r="T118" s="3"/>
      <c r="U118" s="5" t="s">
        <v>104</v>
      </c>
      <c r="V118" s="3">
        <v>709</v>
      </c>
      <c r="W118" s="3">
        <v>0</v>
      </c>
      <c r="X118" s="3" t="s">
        <v>97</v>
      </c>
      <c r="Y118" s="3" t="s">
        <v>97</v>
      </c>
      <c r="Z118" s="4">
        <v>46250</v>
      </c>
      <c r="AA118" s="3" t="s">
        <v>308</v>
      </c>
      <c r="AB118" s="3" t="s">
        <v>472</v>
      </c>
      <c r="AC118" s="3" t="s">
        <v>629</v>
      </c>
      <c r="AD118" s="9" t="s">
        <v>633</v>
      </c>
    </row>
    <row r="119" spans="1:30" ht="15" customHeight="1" x14ac:dyDescent="0.3">
      <c r="A119" s="8">
        <f t="shared" si="1"/>
        <v>117</v>
      </c>
      <c r="B119" s="3" t="s">
        <v>21</v>
      </c>
      <c r="C119" s="3" t="s">
        <v>127</v>
      </c>
      <c r="D119" s="3" t="s">
        <v>128</v>
      </c>
      <c r="E119" s="3" t="s">
        <v>130</v>
      </c>
      <c r="F119" s="3">
        <v>1452</v>
      </c>
      <c r="G119" s="4">
        <v>46238</v>
      </c>
      <c r="H119" s="4"/>
      <c r="I119" s="3" t="s">
        <v>34</v>
      </c>
      <c r="J119" s="3" t="s">
        <v>28</v>
      </c>
      <c r="K119" s="3">
        <v>5</v>
      </c>
      <c r="L119" s="3">
        <v>50</v>
      </c>
      <c r="M119" s="3" t="s">
        <v>32</v>
      </c>
      <c r="N119" s="4">
        <v>46254</v>
      </c>
      <c r="O119" s="4">
        <v>46254</v>
      </c>
      <c r="P119" s="3" t="s">
        <v>219</v>
      </c>
      <c r="Q119" s="3" t="s">
        <v>29</v>
      </c>
      <c r="R119" s="3" t="s">
        <v>26</v>
      </c>
      <c r="S119" s="3"/>
      <c r="T119" s="3"/>
      <c r="U119" s="5" t="s">
        <v>104</v>
      </c>
      <c r="V119" s="3">
        <v>709</v>
      </c>
      <c r="W119" s="3">
        <v>0</v>
      </c>
      <c r="X119" s="3" t="s">
        <v>97</v>
      </c>
      <c r="Y119" s="3" t="s">
        <v>97</v>
      </c>
      <c r="Z119" s="4">
        <v>46250</v>
      </c>
      <c r="AA119" s="3" t="s">
        <v>308</v>
      </c>
      <c r="AB119" s="3" t="s">
        <v>472</v>
      </c>
      <c r="AC119" s="3" t="s">
        <v>629</v>
      </c>
      <c r="AD119" s="9" t="s">
        <v>633</v>
      </c>
    </row>
    <row r="120" spans="1:30" ht="15" customHeight="1" x14ac:dyDescent="0.3">
      <c r="A120" s="8">
        <f t="shared" si="1"/>
        <v>118</v>
      </c>
      <c r="B120" s="3" t="s">
        <v>21</v>
      </c>
      <c r="C120" s="3" t="s">
        <v>131</v>
      </c>
      <c r="D120" s="3" t="s">
        <v>132</v>
      </c>
      <c r="E120" s="3" t="s">
        <v>133</v>
      </c>
      <c r="F120" s="3">
        <v>1453</v>
      </c>
      <c r="G120" s="4">
        <v>46238</v>
      </c>
      <c r="H120" s="4"/>
      <c r="I120" s="3" t="s">
        <v>31</v>
      </c>
      <c r="J120" s="3" t="s">
        <v>28</v>
      </c>
      <c r="K120" s="3">
        <v>6</v>
      </c>
      <c r="L120" s="3">
        <v>120</v>
      </c>
      <c r="M120" s="3" t="s">
        <v>32</v>
      </c>
      <c r="N120" s="4">
        <v>46241</v>
      </c>
      <c r="O120" s="4">
        <v>46241</v>
      </c>
      <c r="P120" s="3" t="s">
        <v>219</v>
      </c>
      <c r="Q120" s="3" t="s">
        <v>29</v>
      </c>
      <c r="R120" s="3" t="s">
        <v>26</v>
      </c>
      <c r="S120" s="3"/>
      <c r="T120" s="3"/>
      <c r="U120" s="5" t="s">
        <v>104</v>
      </c>
      <c r="V120" s="3">
        <v>709</v>
      </c>
      <c r="W120" s="3">
        <v>0</v>
      </c>
      <c r="X120" s="3" t="s">
        <v>97</v>
      </c>
      <c r="Y120" s="3" t="s">
        <v>97</v>
      </c>
      <c r="Z120" s="4">
        <v>46241</v>
      </c>
      <c r="AA120" s="3" t="s">
        <v>470</v>
      </c>
      <c r="AB120" s="3" t="s">
        <v>472</v>
      </c>
      <c r="AC120" s="3" t="s">
        <v>630</v>
      </c>
      <c r="AD120" s="9" t="s">
        <v>633</v>
      </c>
    </row>
    <row r="121" spans="1:30" ht="15" customHeight="1" x14ac:dyDescent="0.3">
      <c r="A121" s="8">
        <f t="shared" si="1"/>
        <v>119</v>
      </c>
      <c r="B121" s="3" t="s">
        <v>21</v>
      </c>
      <c r="C121" s="3" t="s">
        <v>134</v>
      </c>
      <c r="D121" s="3" t="s">
        <v>135</v>
      </c>
      <c r="E121" s="3" t="s">
        <v>136</v>
      </c>
      <c r="F121" s="18">
        <v>1454</v>
      </c>
      <c r="G121" s="4">
        <v>46238</v>
      </c>
      <c r="H121" s="4"/>
      <c r="I121" s="3" t="s">
        <v>34</v>
      </c>
      <c r="J121" s="3" t="s">
        <v>28</v>
      </c>
      <c r="K121" s="3">
        <v>10</v>
      </c>
      <c r="L121" s="3">
        <v>100</v>
      </c>
      <c r="M121" s="3" t="s">
        <v>32</v>
      </c>
      <c r="N121" s="4">
        <v>46258</v>
      </c>
      <c r="O121" s="4">
        <v>46263</v>
      </c>
      <c r="P121" s="3" t="s">
        <v>219</v>
      </c>
      <c r="Q121" s="3" t="s">
        <v>29</v>
      </c>
      <c r="R121" s="3" t="s">
        <v>26</v>
      </c>
      <c r="S121" s="3"/>
      <c r="T121" s="3"/>
      <c r="U121" s="5" t="s">
        <v>104</v>
      </c>
      <c r="V121" s="3">
        <v>709</v>
      </c>
      <c r="W121" s="3">
        <v>0</v>
      </c>
      <c r="X121" s="3" t="s">
        <v>97</v>
      </c>
      <c r="Y121" s="3" t="s">
        <v>97</v>
      </c>
      <c r="Z121" s="4">
        <v>46254</v>
      </c>
      <c r="AA121" s="3" t="s">
        <v>610</v>
      </c>
      <c r="AB121" s="3" t="s">
        <v>469</v>
      </c>
      <c r="AC121" s="3"/>
      <c r="AD121" s="9" t="s">
        <v>633</v>
      </c>
    </row>
    <row r="122" spans="1:30" ht="15" customHeight="1" x14ac:dyDescent="0.3">
      <c r="A122" s="8">
        <f t="shared" si="1"/>
        <v>120</v>
      </c>
      <c r="B122" s="3" t="s">
        <v>21</v>
      </c>
      <c r="C122" s="3" t="s">
        <v>134</v>
      </c>
      <c r="D122" s="3" t="s">
        <v>135</v>
      </c>
      <c r="E122" s="3" t="s">
        <v>137</v>
      </c>
      <c r="F122" s="18">
        <v>1455</v>
      </c>
      <c r="G122" s="4">
        <v>46238</v>
      </c>
      <c r="H122" s="4"/>
      <c r="I122" s="3" t="s">
        <v>31</v>
      </c>
      <c r="J122" s="3" t="s">
        <v>28</v>
      </c>
      <c r="K122" s="3">
        <v>3</v>
      </c>
      <c r="L122" s="3">
        <v>60</v>
      </c>
      <c r="M122" s="3" t="s">
        <v>32</v>
      </c>
      <c r="N122" s="4">
        <v>46258</v>
      </c>
      <c r="O122" s="4">
        <v>46263</v>
      </c>
      <c r="P122" s="3" t="s">
        <v>219</v>
      </c>
      <c r="Q122" s="3" t="s">
        <v>29</v>
      </c>
      <c r="R122" s="3" t="s">
        <v>26</v>
      </c>
      <c r="S122" s="3"/>
      <c r="T122" s="3"/>
      <c r="U122" s="5" t="s">
        <v>104</v>
      </c>
      <c r="V122" s="3">
        <v>709</v>
      </c>
      <c r="W122" s="3">
        <v>0</v>
      </c>
      <c r="X122" s="3" t="s">
        <v>97</v>
      </c>
      <c r="Y122" s="3" t="s">
        <v>97</v>
      </c>
      <c r="Z122" s="4">
        <v>46254</v>
      </c>
      <c r="AA122" s="3" t="s">
        <v>610</v>
      </c>
      <c r="AB122" s="3" t="s">
        <v>469</v>
      </c>
      <c r="AC122" s="3"/>
      <c r="AD122" s="9" t="s">
        <v>633</v>
      </c>
    </row>
    <row r="123" spans="1:30" ht="15" hidden="1" customHeight="1" x14ac:dyDescent="0.3">
      <c r="A123" s="8">
        <f t="shared" si="1"/>
        <v>121</v>
      </c>
      <c r="B123" s="3" t="s">
        <v>21</v>
      </c>
      <c r="C123" s="3" t="s">
        <v>138</v>
      </c>
      <c r="D123" s="3" t="s">
        <v>139</v>
      </c>
      <c r="E123" s="3" t="s">
        <v>140</v>
      </c>
      <c r="F123" s="3">
        <v>1456</v>
      </c>
      <c r="G123" s="4">
        <v>46238</v>
      </c>
      <c r="H123" s="4"/>
      <c r="I123" s="3" t="s">
        <v>31</v>
      </c>
      <c r="J123" s="3" t="s">
        <v>28</v>
      </c>
      <c r="K123" s="3">
        <v>3</v>
      </c>
      <c r="L123" s="3">
        <v>60</v>
      </c>
      <c r="M123" s="3" t="s">
        <v>32</v>
      </c>
      <c r="N123" s="4"/>
      <c r="O123" s="4"/>
      <c r="P123" s="3" t="s">
        <v>25</v>
      </c>
      <c r="Q123" s="3" t="s">
        <v>29</v>
      </c>
      <c r="R123" s="3" t="s">
        <v>26</v>
      </c>
      <c r="S123" s="3"/>
      <c r="T123" s="3"/>
      <c r="U123" s="5" t="s">
        <v>104</v>
      </c>
      <c r="V123" s="3">
        <v>709</v>
      </c>
      <c r="W123" s="3">
        <v>0</v>
      </c>
      <c r="X123" s="3" t="s">
        <v>25</v>
      </c>
      <c r="Y123" s="3" t="s">
        <v>25</v>
      </c>
      <c r="Z123" s="3"/>
      <c r="AA123" s="3"/>
      <c r="AB123" s="3"/>
      <c r="AC123" s="3"/>
      <c r="AD123" s="17" t="s">
        <v>652</v>
      </c>
    </row>
    <row r="124" spans="1:30" ht="15" customHeight="1" x14ac:dyDescent="0.3">
      <c r="A124" s="8">
        <f t="shared" si="1"/>
        <v>122</v>
      </c>
      <c r="B124" s="3" t="s">
        <v>21</v>
      </c>
      <c r="C124" s="3" t="s">
        <v>142</v>
      </c>
      <c r="D124" s="3" t="s">
        <v>48</v>
      </c>
      <c r="E124" s="3" t="s">
        <v>141</v>
      </c>
      <c r="F124" s="3">
        <v>1457</v>
      </c>
      <c r="G124" s="4">
        <v>46238</v>
      </c>
      <c r="H124" s="4"/>
      <c r="I124" s="3" t="s">
        <v>24</v>
      </c>
      <c r="J124" s="3" t="s">
        <v>28</v>
      </c>
      <c r="K124" s="3">
        <v>8</v>
      </c>
      <c r="L124" s="3">
        <v>96</v>
      </c>
      <c r="M124" s="3" t="s">
        <v>32</v>
      </c>
      <c r="N124" s="4">
        <v>46241</v>
      </c>
      <c r="O124" s="4">
        <v>46241</v>
      </c>
      <c r="P124" s="3" t="s">
        <v>219</v>
      </c>
      <c r="Q124" s="3" t="s">
        <v>29</v>
      </c>
      <c r="R124" s="3" t="s">
        <v>26</v>
      </c>
      <c r="S124" s="3"/>
      <c r="T124" s="3"/>
      <c r="U124" s="5" t="s">
        <v>104</v>
      </c>
      <c r="V124" s="3">
        <v>709</v>
      </c>
      <c r="W124" s="3">
        <v>0</v>
      </c>
      <c r="X124" s="3" t="s">
        <v>97</v>
      </c>
      <c r="Y124" s="3" t="s">
        <v>97</v>
      </c>
      <c r="Z124" s="4">
        <v>46241</v>
      </c>
      <c r="AA124" s="3" t="s">
        <v>470</v>
      </c>
      <c r="AB124" s="3" t="s">
        <v>472</v>
      </c>
      <c r="AC124" s="3" t="s">
        <v>630</v>
      </c>
      <c r="AD124" s="9" t="s">
        <v>633</v>
      </c>
    </row>
    <row r="125" spans="1:30" ht="15" customHeight="1" x14ac:dyDescent="0.3">
      <c r="A125" s="8">
        <f t="shared" si="1"/>
        <v>123</v>
      </c>
      <c r="B125" s="3" t="s">
        <v>21</v>
      </c>
      <c r="C125" s="3" t="s">
        <v>142</v>
      </c>
      <c r="D125" s="3" t="s">
        <v>48</v>
      </c>
      <c r="E125" s="3" t="s">
        <v>143</v>
      </c>
      <c r="F125" s="3">
        <v>1458</v>
      </c>
      <c r="G125" s="4">
        <v>46238</v>
      </c>
      <c r="H125" s="4"/>
      <c r="I125" s="3" t="s">
        <v>31</v>
      </c>
      <c r="J125" s="3" t="s">
        <v>28</v>
      </c>
      <c r="K125" s="3">
        <v>15</v>
      </c>
      <c r="L125" s="3">
        <v>300</v>
      </c>
      <c r="M125" s="3" t="s">
        <v>32</v>
      </c>
      <c r="N125" s="4">
        <v>46241</v>
      </c>
      <c r="O125" s="4">
        <v>46241</v>
      </c>
      <c r="P125" s="3" t="s">
        <v>219</v>
      </c>
      <c r="Q125" s="3" t="s">
        <v>29</v>
      </c>
      <c r="R125" s="3" t="s">
        <v>26</v>
      </c>
      <c r="S125" s="3"/>
      <c r="T125" s="3"/>
      <c r="U125" s="5" t="s">
        <v>104</v>
      </c>
      <c r="V125" s="3">
        <v>709</v>
      </c>
      <c r="W125" s="3">
        <v>0</v>
      </c>
      <c r="X125" s="3" t="s">
        <v>97</v>
      </c>
      <c r="Y125" s="3" t="s">
        <v>97</v>
      </c>
      <c r="Z125" s="4">
        <v>46241</v>
      </c>
      <c r="AA125" s="3" t="s">
        <v>470</v>
      </c>
      <c r="AB125" s="3" t="s">
        <v>472</v>
      </c>
      <c r="AC125" s="3" t="s">
        <v>630</v>
      </c>
      <c r="AD125" s="9" t="s">
        <v>633</v>
      </c>
    </row>
    <row r="126" spans="1:30" ht="15" customHeight="1" x14ac:dyDescent="0.3">
      <c r="A126" s="8">
        <f t="shared" si="1"/>
        <v>124</v>
      </c>
      <c r="B126" s="3" t="s">
        <v>21</v>
      </c>
      <c r="C126" s="3" t="s">
        <v>142</v>
      </c>
      <c r="D126" s="3" t="s">
        <v>48</v>
      </c>
      <c r="E126" s="3" t="s">
        <v>144</v>
      </c>
      <c r="F126" s="3">
        <v>1459</v>
      </c>
      <c r="G126" s="4">
        <v>46238</v>
      </c>
      <c r="H126" s="4"/>
      <c r="I126" s="3" t="s">
        <v>34</v>
      </c>
      <c r="J126" s="3" t="s">
        <v>28</v>
      </c>
      <c r="K126" s="3">
        <v>30</v>
      </c>
      <c r="L126" s="3">
        <v>300</v>
      </c>
      <c r="M126" s="3" t="s">
        <v>32</v>
      </c>
      <c r="N126" s="4">
        <v>46241</v>
      </c>
      <c r="O126" s="4">
        <v>46241</v>
      </c>
      <c r="P126" s="3" t="s">
        <v>219</v>
      </c>
      <c r="Q126" s="3" t="s">
        <v>29</v>
      </c>
      <c r="R126" s="3" t="s">
        <v>26</v>
      </c>
      <c r="S126" s="3"/>
      <c r="T126" s="3"/>
      <c r="U126" s="5" t="s">
        <v>104</v>
      </c>
      <c r="V126" s="3">
        <v>709</v>
      </c>
      <c r="W126" s="3">
        <v>0</v>
      </c>
      <c r="X126" s="3" t="s">
        <v>97</v>
      </c>
      <c r="Y126" s="3" t="s">
        <v>97</v>
      </c>
      <c r="Z126" s="4">
        <v>46241</v>
      </c>
      <c r="AA126" s="3" t="s">
        <v>470</v>
      </c>
      <c r="AB126" s="3" t="s">
        <v>472</v>
      </c>
      <c r="AC126" s="3" t="s">
        <v>630</v>
      </c>
      <c r="AD126" s="9" t="s">
        <v>633</v>
      </c>
    </row>
    <row r="127" spans="1:30" ht="15" customHeight="1" x14ac:dyDescent="0.3">
      <c r="A127" s="8">
        <f t="shared" si="1"/>
        <v>125</v>
      </c>
      <c r="B127" s="3" t="s">
        <v>21</v>
      </c>
      <c r="C127" s="3" t="s">
        <v>146</v>
      </c>
      <c r="D127" s="3" t="s">
        <v>147</v>
      </c>
      <c r="E127" s="3" t="s">
        <v>145</v>
      </c>
      <c r="F127" s="3">
        <v>1460</v>
      </c>
      <c r="G127" s="4">
        <v>46238</v>
      </c>
      <c r="H127" s="4"/>
      <c r="I127" s="3" t="s">
        <v>24</v>
      </c>
      <c r="J127" s="3" t="s">
        <v>28</v>
      </c>
      <c r="K127" s="3">
        <v>4</v>
      </c>
      <c r="L127" s="3">
        <v>48</v>
      </c>
      <c r="M127" s="3" t="s">
        <v>32</v>
      </c>
      <c r="N127" s="4">
        <v>46241</v>
      </c>
      <c r="O127" s="4">
        <v>46241</v>
      </c>
      <c r="P127" s="3" t="s">
        <v>219</v>
      </c>
      <c r="Q127" s="3" t="s">
        <v>29</v>
      </c>
      <c r="R127" s="3" t="s">
        <v>26</v>
      </c>
      <c r="S127" s="3"/>
      <c r="T127" s="3"/>
      <c r="U127" s="5" t="s">
        <v>104</v>
      </c>
      <c r="V127" s="3">
        <v>709</v>
      </c>
      <c r="W127" s="3">
        <v>0</v>
      </c>
      <c r="X127" s="3" t="s">
        <v>97</v>
      </c>
      <c r="Y127" s="3" t="s">
        <v>97</v>
      </c>
      <c r="Z127" s="4">
        <v>46241</v>
      </c>
      <c r="AA127" s="3" t="s">
        <v>470</v>
      </c>
      <c r="AB127" s="3" t="s">
        <v>472</v>
      </c>
      <c r="AC127" s="3" t="s">
        <v>630</v>
      </c>
      <c r="AD127" s="9" t="s">
        <v>633</v>
      </c>
    </row>
    <row r="128" spans="1:30" ht="15" customHeight="1" x14ac:dyDescent="0.3">
      <c r="A128" s="8">
        <f t="shared" si="1"/>
        <v>126</v>
      </c>
      <c r="B128" s="3" t="s">
        <v>21</v>
      </c>
      <c r="C128" s="3" t="s">
        <v>146</v>
      </c>
      <c r="D128" s="3" t="s">
        <v>147</v>
      </c>
      <c r="E128" s="3" t="s">
        <v>148</v>
      </c>
      <c r="F128" s="3">
        <v>1461</v>
      </c>
      <c r="G128" s="4">
        <v>46238</v>
      </c>
      <c r="H128" s="4"/>
      <c r="I128" s="3" t="s">
        <v>34</v>
      </c>
      <c r="J128" s="3" t="s">
        <v>28</v>
      </c>
      <c r="K128" s="3">
        <v>5</v>
      </c>
      <c r="L128" s="3">
        <v>50</v>
      </c>
      <c r="M128" s="3" t="s">
        <v>32</v>
      </c>
      <c r="N128" s="4">
        <v>46241</v>
      </c>
      <c r="O128" s="4">
        <v>46241</v>
      </c>
      <c r="P128" s="3" t="s">
        <v>219</v>
      </c>
      <c r="Q128" s="3" t="s">
        <v>29</v>
      </c>
      <c r="R128" s="3" t="s">
        <v>26</v>
      </c>
      <c r="S128" s="3"/>
      <c r="T128" s="3"/>
      <c r="U128" s="5" t="s">
        <v>104</v>
      </c>
      <c r="V128" s="3">
        <v>709</v>
      </c>
      <c r="W128" s="3">
        <v>0</v>
      </c>
      <c r="X128" s="3" t="s">
        <v>97</v>
      </c>
      <c r="Y128" s="3" t="s">
        <v>97</v>
      </c>
      <c r="Z128" s="4">
        <v>46241</v>
      </c>
      <c r="AA128" s="3" t="s">
        <v>470</v>
      </c>
      <c r="AB128" s="3" t="s">
        <v>472</v>
      </c>
      <c r="AC128" s="3" t="s">
        <v>630</v>
      </c>
      <c r="AD128" s="9" t="s">
        <v>633</v>
      </c>
    </row>
    <row r="129" spans="1:30" ht="15" customHeight="1" x14ac:dyDescent="0.3">
      <c r="A129" s="8">
        <f t="shared" si="1"/>
        <v>127</v>
      </c>
      <c r="B129" s="3" t="s">
        <v>21</v>
      </c>
      <c r="C129" s="3" t="s">
        <v>150</v>
      </c>
      <c r="D129" s="3" t="s">
        <v>99</v>
      </c>
      <c r="E129" s="3" t="s">
        <v>149</v>
      </c>
      <c r="F129" s="3">
        <v>1462</v>
      </c>
      <c r="G129" s="4">
        <v>46238</v>
      </c>
      <c r="H129" s="4"/>
      <c r="I129" s="3" t="s">
        <v>31</v>
      </c>
      <c r="J129" s="3" t="s">
        <v>28</v>
      </c>
      <c r="K129" s="3">
        <v>15</v>
      </c>
      <c r="L129" s="3">
        <v>300</v>
      </c>
      <c r="M129" s="3" t="s">
        <v>32</v>
      </c>
      <c r="N129" s="4">
        <v>46241</v>
      </c>
      <c r="O129" s="4">
        <v>46241</v>
      </c>
      <c r="P129" s="3" t="s">
        <v>219</v>
      </c>
      <c r="Q129" s="3" t="s">
        <v>29</v>
      </c>
      <c r="R129" s="3" t="s">
        <v>26</v>
      </c>
      <c r="S129" s="3"/>
      <c r="T129" s="3"/>
      <c r="U129" s="5" t="s">
        <v>104</v>
      </c>
      <c r="V129" s="3">
        <v>709</v>
      </c>
      <c r="W129" s="3">
        <v>0</v>
      </c>
      <c r="X129" s="3" t="s">
        <v>97</v>
      </c>
      <c r="Y129" s="3" t="s">
        <v>97</v>
      </c>
      <c r="Z129" s="4">
        <v>46244</v>
      </c>
      <c r="AA129" s="5" t="s">
        <v>155</v>
      </c>
      <c r="AB129" s="3" t="s">
        <v>469</v>
      </c>
      <c r="AC129" s="3"/>
      <c r="AD129" s="9" t="s">
        <v>633</v>
      </c>
    </row>
    <row r="130" spans="1:30" ht="15" customHeight="1" x14ac:dyDescent="0.3">
      <c r="A130" s="8">
        <f t="shared" si="1"/>
        <v>128</v>
      </c>
      <c r="B130" s="3" t="s">
        <v>21</v>
      </c>
      <c r="C130" s="3" t="s">
        <v>165</v>
      </c>
      <c r="D130" s="3" t="s">
        <v>166</v>
      </c>
      <c r="E130" s="3">
        <v>716286896</v>
      </c>
      <c r="F130" s="18">
        <v>1463</v>
      </c>
      <c r="G130" s="4">
        <v>46238</v>
      </c>
      <c r="H130" s="4"/>
      <c r="I130" s="3" t="s">
        <v>167</v>
      </c>
      <c r="J130" s="3" t="s">
        <v>28</v>
      </c>
      <c r="K130" s="3">
        <v>2</v>
      </c>
      <c r="L130" s="3">
        <v>420</v>
      </c>
      <c r="M130" s="3" t="s">
        <v>32</v>
      </c>
      <c r="N130" s="4">
        <v>46258</v>
      </c>
      <c r="O130" s="4">
        <v>46267</v>
      </c>
      <c r="P130" s="3" t="s">
        <v>219</v>
      </c>
      <c r="Q130" s="3" t="s">
        <v>29</v>
      </c>
      <c r="R130" s="3" t="s">
        <v>26</v>
      </c>
      <c r="S130" s="3"/>
      <c r="T130" s="3"/>
      <c r="U130" s="5" t="s">
        <v>155</v>
      </c>
      <c r="V130" s="3">
        <v>709</v>
      </c>
      <c r="W130" s="3">
        <v>0</v>
      </c>
      <c r="X130" s="3" t="s">
        <v>97</v>
      </c>
      <c r="Y130" s="3" t="s">
        <v>97</v>
      </c>
      <c r="Z130" s="4">
        <v>46254</v>
      </c>
      <c r="AA130" s="3" t="s">
        <v>610</v>
      </c>
      <c r="AB130" s="3" t="s">
        <v>609</v>
      </c>
      <c r="AC130" s="3" t="s">
        <v>627</v>
      </c>
      <c r="AD130" s="9" t="s">
        <v>633</v>
      </c>
    </row>
    <row r="131" spans="1:30" ht="15" customHeight="1" x14ac:dyDescent="0.3">
      <c r="A131" s="8">
        <f t="shared" si="1"/>
        <v>129</v>
      </c>
      <c r="B131" s="3" t="s">
        <v>21</v>
      </c>
      <c r="C131" s="3" t="s">
        <v>168</v>
      </c>
      <c r="D131" s="3" t="s">
        <v>169</v>
      </c>
      <c r="E131" s="3">
        <v>716286897</v>
      </c>
      <c r="F131" s="18">
        <v>1464</v>
      </c>
      <c r="G131" s="4">
        <v>46238</v>
      </c>
      <c r="H131" s="4"/>
      <c r="I131" s="3" t="s">
        <v>167</v>
      </c>
      <c r="J131" s="3" t="s">
        <v>28</v>
      </c>
      <c r="K131" s="3">
        <v>2</v>
      </c>
      <c r="L131" s="3">
        <v>420</v>
      </c>
      <c r="M131" s="3" t="s">
        <v>32</v>
      </c>
      <c r="N131" s="4">
        <v>46249</v>
      </c>
      <c r="O131" s="4">
        <v>46253</v>
      </c>
      <c r="P131" s="3" t="s">
        <v>219</v>
      </c>
      <c r="Q131" s="3" t="s">
        <v>29</v>
      </c>
      <c r="R131" s="3" t="s">
        <v>26</v>
      </c>
      <c r="S131" s="3"/>
      <c r="T131" s="3"/>
      <c r="U131" s="5" t="s">
        <v>155</v>
      </c>
      <c r="V131" s="3">
        <v>709</v>
      </c>
      <c r="W131" s="3">
        <v>0</v>
      </c>
      <c r="X131" s="3" t="s">
        <v>97</v>
      </c>
      <c r="Y131" s="3" t="s">
        <v>97</v>
      </c>
      <c r="Z131" s="4">
        <v>46249</v>
      </c>
      <c r="AA131" s="5" t="s">
        <v>155</v>
      </c>
      <c r="AB131" s="3" t="s">
        <v>469</v>
      </c>
      <c r="AC131" s="3"/>
      <c r="AD131" s="9" t="s">
        <v>633</v>
      </c>
    </row>
    <row r="132" spans="1:30" ht="15" customHeight="1" x14ac:dyDescent="0.3">
      <c r="A132" s="8">
        <f t="shared" si="1"/>
        <v>130</v>
      </c>
      <c r="B132" s="3" t="s">
        <v>21</v>
      </c>
      <c r="C132" s="3" t="s">
        <v>158</v>
      </c>
      <c r="D132" s="3" t="s">
        <v>159</v>
      </c>
      <c r="E132" s="3">
        <v>716287008</v>
      </c>
      <c r="F132" s="3">
        <v>1465</v>
      </c>
      <c r="G132" s="4">
        <v>46238</v>
      </c>
      <c r="H132" s="4"/>
      <c r="I132" s="3" t="s">
        <v>170</v>
      </c>
      <c r="J132" s="3" t="s">
        <v>28</v>
      </c>
      <c r="K132" s="3">
        <v>50</v>
      </c>
      <c r="L132" s="3">
        <v>200</v>
      </c>
      <c r="M132" s="3" t="s">
        <v>32</v>
      </c>
      <c r="N132" s="4">
        <v>46241</v>
      </c>
      <c r="O132" s="4">
        <v>46241</v>
      </c>
      <c r="P132" s="3" t="s">
        <v>219</v>
      </c>
      <c r="Q132" s="3" t="s">
        <v>29</v>
      </c>
      <c r="R132" s="3" t="s">
        <v>26</v>
      </c>
      <c r="S132" s="3"/>
      <c r="T132" s="3"/>
      <c r="U132" s="5" t="s">
        <v>155</v>
      </c>
      <c r="V132" s="3">
        <v>709</v>
      </c>
      <c r="W132" s="3">
        <v>0</v>
      </c>
      <c r="X132" s="3" t="s">
        <v>97</v>
      </c>
      <c r="Y132" s="3" t="s">
        <v>97</v>
      </c>
      <c r="Z132" s="4">
        <v>46244</v>
      </c>
      <c r="AA132" s="5" t="s">
        <v>155</v>
      </c>
      <c r="AB132" s="3" t="s">
        <v>469</v>
      </c>
      <c r="AC132" s="3"/>
      <c r="AD132" s="9" t="s">
        <v>633</v>
      </c>
    </row>
    <row r="133" spans="1:30" ht="15" customHeight="1" x14ac:dyDescent="0.3">
      <c r="A133" s="8">
        <f t="shared" ref="A133:A196" si="2">A132+1</f>
        <v>131</v>
      </c>
      <c r="B133" s="3" t="s">
        <v>21</v>
      </c>
      <c r="C133" s="3" t="s">
        <v>171</v>
      </c>
      <c r="D133" s="3" t="s">
        <v>172</v>
      </c>
      <c r="E133" s="3">
        <v>716287007</v>
      </c>
      <c r="F133" s="3">
        <v>1466</v>
      </c>
      <c r="G133" s="4">
        <v>46238</v>
      </c>
      <c r="H133" s="4"/>
      <c r="I133" s="3" t="s">
        <v>173</v>
      </c>
      <c r="J133" s="3" t="s">
        <v>28</v>
      </c>
      <c r="K133" s="3">
        <v>20</v>
      </c>
      <c r="L133" s="3">
        <v>400</v>
      </c>
      <c r="M133" s="3" t="s">
        <v>32</v>
      </c>
      <c r="N133" s="4">
        <v>46262</v>
      </c>
      <c r="O133" s="4">
        <v>46258</v>
      </c>
      <c r="P133" s="3" t="s">
        <v>219</v>
      </c>
      <c r="Q133" s="3" t="s">
        <v>29</v>
      </c>
      <c r="R133" s="3" t="s">
        <v>26</v>
      </c>
      <c r="S133" s="3"/>
      <c r="T133" s="3"/>
      <c r="U133" s="5" t="s">
        <v>155</v>
      </c>
      <c r="V133" s="3">
        <v>709</v>
      </c>
      <c r="W133" s="3">
        <v>0</v>
      </c>
      <c r="X133" s="3" t="s">
        <v>97</v>
      </c>
      <c r="Y133" s="3" t="s">
        <v>97</v>
      </c>
      <c r="Z133" s="4">
        <v>46253</v>
      </c>
      <c r="AA133" s="3" t="s">
        <v>597</v>
      </c>
      <c r="AB133" s="3" t="s">
        <v>609</v>
      </c>
      <c r="AC133" s="3" t="s">
        <v>627</v>
      </c>
      <c r="AD133" s="9" t="s">
        <v>633</v>
      </c>
    </row>
    <row r="134" spans="1:30" x14ac:dyDescent="0.3">
      <c r="A134" s="8">
        <f t="shared" si="2"/>
        <v>132</v>
      </c>
      <c r="B134" s="3" t="s">
        <v>21</v>
      </c>
      <c r="C134" s="3" t="s">
        <v>151</v>
      </c>
      <c r="D134" s="3" t="s">
        <v>152</v>
      </c>
      <c r="E134" s="3" t="s">
        <v>153</v>
      </c>
      <c r="F134" s="3">
        <v>1467</v>
      </c>
      <c r="G134" s="4">
        <v>46238</v>
      </c>
      <c r="H134" s="4"/>
      <c r="I134" s="3" t="s">
        <v>24</v>
      </c>
      <c r="J134" s="3" t="s">
        <v>28</v>
      </c>
      <c r="K134" s="3">
        <v>28</v>
      </c>
      <c r="L134" s="3">
        <v>336</v>
      </c>
      <c r="M134" s="3" t="s">
        <v>32</v>
      </c>
      <c r="N134" s="4">
        <v>46254</v>
      </c>
      <c r="O134" s="4">
        <v>46254</v>
      </c>
      <c r="P134" s="3" t="s">
        <v>219</v>
      </c>
      <c r="Q134" s="3" t="s">
        <v>29</v>
      </c>
      <c r="R134" s="3" t="s">
        <v>26</v>
      </c>
      <c r="S134" s="3"/>
      <c r="T134" s="3"/>
      <c r="U134" s="5" t="s">
        <v>155</v>
      </c>
      <c r="V134" s="3">
        <v>709</v>
      </c>
      <c r="W134" s="3">
        <v>0</v>
      </c>
      <c r="X134" s="3" t="s">
        <v>97</v>
      </c>
      <c r="Y134" s="3" t="s">
        <v>97</v>
      </c>
      <c r="Z134" s="4">
        <v>46253</v>
      </c>
      <c r="AA134" s="3" t="s">
        <v>584</v>
      </c>
      <c r="AB134" s="3" t="s">
        <v>583</v>
      </c>
      <c r="AC134" s="3" t="s">
        <v>611</v>
      </c>
      <c r="AD134" s="9" t="s">
        <v>633</v>
      </c>
    </row>
    <row r="135" spans="1:30" x14ac:dyDescent="0.3">
      <c r="A135" s="8">
        <f t="shared" si="2"/>
        <v>133</v>
      </c>
      <c r="B135" s="3" t="s">
        <v>21</v>
      </c>
      <c r="C135" s="3" t="s">
        <v>151</v>
      </c>
      <c r="D135" s="3" t="s">
        <v>152</v>
      </c>
      <c r="E135" s="3" t="s">
        <v>154</v>
      </c>
      <c r="F135" s="3">
        <v>1468</v>
      </c>
      <c r="G135" s="4">
        <v>46238</v>
      </c>
      <c r="H135" s="4"/>
      <c r="I135" s="3" t="s">
        <v>31</v>
      </c>
      <c r="J135" s="3" t="s">
        <v>28</v>
      </c>
      <c r="K135" s="3">
        <v>33</v>
      </c>
      <c r="L135" s="3">
        <v>660</v>
      </c>
      <c r="M135" s="3" t="s">
        <v>32</v>
      </c>
      <c r="N135" s="4">
        <v>46254</v>
      </c>
      <c r="O135" s="4">
        <v>46254</v>
      </c>
      <c r="P135" s="3" t="s">
        <v>219</v>
      </c>
      <c r="Q135" s="3" t="s">
        <v>29</v>
      </c>
      <c r="R135" s="3" t="s">
        <v>26</v>
      </c>
      <c r="S135" s="3"/>
      <c r="T135" s="3"/>
      <c r="U135" s="5" t="s">
        <v>155</v>
      </c>
      <c r="V135" s="3">
        <v>709</v>
      </c>
      <c r="W135" s="3">
        <v>0</v>
      </c>
      <c r="X135" s="3" t="s">
        <v>97</v>
      </c>
      <c r="Y135" s="3" t="s">
        <v>97</v>
      </c>
      <c r="Z135" s="4">
        <v>46253</v>
      </c>
      <c r="AA135" s="3" t="s">
        <v>584</v>
      </c>
      <c r="AB135" s="3" t="s">
        <v>583</v>
      </c>
      <c r="AC135" s="3" t="s">
        <v>611</v>
      </c>
      <c r="AD135" s="9" t="s">
        <v>633</v>
      </c>
    </row>
    <row r="136" spans="1:30" ht="15" customHeight="1" x14ac:dyDescent="0.3">
      <c r="A136" s="8">
        <f t="shared" si="2"/>
        <v>134</v>
      </c>
      <c r="B136" s="3" t="s">
        <v>21</v>
      </c>
      <c r="C136" s="3" t="s">
        <v>156</v>
      </c>
      <c r="D136" s="3" t="s">
        <v>441</v>
      </c>
      <c r="E136" s="3" t="s">
        <v>157</v>
      </c>
      <c r="F136" s="3">
        <v>1469</v>
      </c>
      <c r="G136" s="4">
        <v>46238</v>
      </c>
      <c r="H136" s="4"/>
      <c r="I136" s="3" t="s">
        <v>24</v>
      </c>
      <c r="J136" s="3" t="s">
        <v>28</v>
      </c>
      <c r="K136" s="3">
        <v>8</v>
      </c>
      <c r="L136" s="3">
        <v>96</v>
      </c>
      <c r="M136" s="3" t="s">
        <v>32</v>
      </c>
      <c r="N136" s="4">
        <v>46240</v>
      </c>
      <c r="O136" s="4">
        <v>46240</v>
      </c>
      <c r="P136" s="3" t="s">
        <v>219</v>
      </c>
      <c r="Q136" s="3" t="s">
        <v>29</v>
      </c>
      <c r="R136" s="3" t="s">
        <v>26</v>
      </c>
      <c r="S136" s="3"/>
      <c r="T136" s="3"/>
      <c r="U136" s="5" t="s">
        <v>155</v>
      </c>
      <c r="V136" s="3">
        <v>709</v>
      </c>
      <c r="W136" s="3">
        <v>0</v>
      </c>
      <c r="X136" s="3" t="s">
        <v>97</v>
      </c>
      <c r="Y136" s="3" t="s">
        <v>97</v>
      </c>
      <c r="Z136" s="4">
        <v>46240</v>
      </c>
      <c r="AA136" s="3" t="s">
        <v>64</v>
      </c>
      <c r="AB136" s="3" t="s">
        <v>479</v>
      </c>
      <c r="AC136" s="3" t="s">
        <v>613</v>
      </c>
      <c r="AD136" s="9" t="s">
        <v>633</v>
      </c>
    </row>
    <row r="137" spans="1:30" ht="15" customHeight="1" x14ac:dyDescent="0.3">
      <c r="A137" s="8">
        <f t="shared" si="2"/>
        <v>135</v>
      </c>
      <c r="B137" s="3" t="s">
        <v>21</v>
      </c>
      <c r="C137" s="3" t="s">
        <v>158</v>
      </c>
      <c r="D137" s="3" t="s">
        <v>159</v>
      </c>
      <c r="E137" s="3" t="s">
        <v>160</v>
      </c>
      <c r="F137" s="3">
        <v>1470</v>
      </c>
      <c r="G137" s="4">
        <v>46238</v>
      </c>
      <c r="H137" s="4"/>
      <c r="I137" s="3" t="s">
        <v>34</v>
      </c>
      <c r="J137" s="3" t="s">
        <v>28</v>
      </c>
      <c r="K137" s="3">
        <v>30</v>
      </c>
      <c r="L137" s="3">
        <v>300</v>
      </c>
      <c r="M137" s="3" t="s">
        <v>32</v>
      </c>
      <c r="N137" s="4">
        <v>46241</v>
      </c>
      <c r="O137" s="4">
        <v>46241</v>
      </c>
      <c r="P137" s="3" t="s">
        <v>219</v>
      </c>
      <c r="Q137" s="3" t="s">
        <v>29</v>
      </c>
      <c r="R137" s="3" t="s">
        <v>26</v>
      </c>
      <c r="S137" s="3"/>
      <c r="T137" s="3"/>
      <c r="U137" s="5" t="s">
        <v>155</v>
      </c>
      <c r="V137" s="3">
        <v>709</v>
      </c>
      <c r="W137" s="3">
        <v>0</v>
      </c>
      <c r="X137" s="3" t="s">
        <v>97</v>
      </c>
      <c r="Y137" s="3" t="s">
        <v>97</v>
      </c>
      <c r="Z137" s="4">
        <v>46244</v>
      </c>
      <c r="AA137" s="5" t="s">
        <v>155</v>
      </c>
      <c r="AB137" s="3" t="s">
        <v>469</v>
      </c>
      <c r="AC137" s="3"/>
      <c r="AD137" s="9" t="s">
        <v>633</v>
      </c>
    </row>
    <row r="138" spans="1:30" ht="15" customHeight="1" x14ac:dyDescent="0.3">
      <c r="A138" s="8">
        <f t="shared" si="2"/>
        <v>136</v>
      </c>
      <c r="B138" s="3" t="s">
        <v>21</v>
      </c>
      <c r="C138" s="3" t="s">
        <v>158</v>
      </c>
      <c r="D138" s="3" t="s">
        <v>159</v>
      </c>
      <c r="E138" s="3" t="s">
        <v>161</v>
      </c>
      <c r="F138" s="3">
        <v>1471</v>
      </c>
      <c r="G138" s="4">
        <v>46238</v>
      </c>
      <c r="H138" s="4"/>
      <c r="I138" s="3" t="s">
        <v>31</v>
      </c>
      <c r="J138" s="3" t="s">
        <v>28</v>
      </c>
      <c r="K138" s="3">
        <v>3</v>
      </c>
      <c r="L138" s="3">
        <v>60</v>
      </c>
      <c r="M138" s="3" t="s">
        <v>32</v>
      </c>
      <c r="N138" s="4">
        <v>46241</v>
      </c>
      <c r="O138" s="4">
        <v>46241</v>
      </c>
      <c r="P138" s="3" t="s">
        <v>219</v>
      </c>
      <c r="Q138" s="3" t="s">
        <v>29</v>
      </c>
      <c r="R138" s="3" t="s">
        <v>26</v>
      </c>
      <c r="S138" s="3"/>
      <c r="T138" s="3"/>
      <c r="U138" s="5" t="s">
        <v>155</v>
      </c>
      <c r="V138" s="3">
        <v>709</v>
      </c>
      <c r="W138" s="3">
        <v>0</v>
      </c>
      <c r="X138" s="3" t="s">
        <v>97</v>
      </c>
      <c r="Y138" s="3" t="s">
        <v>97</v>
      </c>
      <c r="Z138" s="4">
        <v>46244</v>
      </c>
      <c r="AA138" s="5" t="s">
        <v>155</v>
      </c>
      <c r="AB138" s="3" t="s">
        <v>469</v>
      </c>
      <c r="AC138" s="3"/>
      <c r="AD138" s="9" t="s">
        <v>633</v>
      </c>
    </row>
    <row r="139" spans="1:30" ht="15" customHeight="1" x14ac:dyDescent="0.3">
      <c r="A139" s="8">
        <f t="shared" si="2"/>
        <v>137</v>
      </c>
      <c r="B139" s="3" t="s">
        <v>21</v>
      </c>
      <c r="C139" s="3" t="s">
        <v>156</v>
      </c>
      <c r="D139" s="3" t="s">
        <v>441</v>
      </c>
      <c r="E139" s="3" t="s">
        <v>162</v>
      </c>
      <c r="F139" s="3">
        <v>1472</v>
      </c>
      <c r="G139" s="4">
        <v>46238</v>
      </c>
      <c r="H139" s="4"/>
      <c r="I139" s="3" t="s">
        <v>31</v>
      </c>
      <c r="J139" s="3" t="s">
        <v>28</v>
      </c>
      <c r="K139" s="3">
        <v>12</v>
      </c>
      <c r="L139" s="3">
        <v>240</v>
      </c>
      <c r="M139" s="3" t="s">
        <v>32</v>
      </c>
      <c r="N139" s="4">
        <v>46240</v>
      </c>
      <c r="O139" s="4">
        <v>46240</v>
      </c>
      <c r="P139" s="3" t="s">
        <v>219</v>
      </c>
      <c r="Q139" s="3" t="s">
        <v>29</v>
      </c>
      <c r="R139" s="3" t="s">
        <v>26</v>
      </c>
      <c r="S139" s="3"/>
      <c r="T139" s="3"/>
      <c r="U139" s="5" t="s">
        <v>155</v>
      </c>
      <c r="V139" s="3">
        <v>709</v>
      </c>
      <c r="W139" s="3">
        <v>0</v>
      </c>
      <c r="X139" s="3" t="s">
        <v>97</v>
      </c>
      <c r="Y139" s="3" t="s">
        <v>97</v>
      </c>
      <c r="Z139" s="4">
        <v>46240</v>
      </c>
      <c r="AA139" s="3" t="s">
        <v>64</v>
      </c>
      <c r="AB139" s="3" t="s">
        <v>479</v>
      </c>
      <c r="AC139" s="3" t="s">
        <v>613</v>
      </c>
      <c r="AD139" s="9" t="s">
        <v>633</v>
      </c>
    </row>
    <row r="140" spans="1:30" ht="15" hidden="1" customHeight="1" x14ac:dyDescent="0.3">
      <c r="A140" s="8">
        <f t="shared" si="2"/>
        <v>138</v>
      </c>
      <c r="B140" s="3" t="s">
        <v>21</v>
      </c>
      <c r="C140" s="3" t="s">
        <v>163</v>
      </c>
      <c r="D140" s="3" t="s">
        <v>139</v>
      </c>
      <c r="E140" s="3" t="s">
        <v>164</v>
      </c>
      <c r="F140" s="3">
        <v>1473</v>
      </c>
      <c r="G140" s="4">
        <v>46238</v>
      </c>
      <c r="H140" s="4"/>
      <c r="I140" s="3" t="s">
        <v>31</v>
      </c>
      <c r="J140" s="3" t="s">
        <v>28</v>
      </c>
      <c r="K140" s="3">
        <v>12</v>
      </c>
      <c r="L140" s="3">
        <v>240</v>
      </c>
      <c r="M140" s="3" t="s">
        <v>32</v>
      </c>
      <c r="N140" s="4">
        <v>46259</v>
      </c>
      <c r="O140" s="4">
        <v>46259</v>
      </c>
      <c r="P140" s="3" t="s">
        <v>637</v>
      </c>
      <c r="Q140" s="3" t="s">
        <v>29</v>
      </c>
      <c r="R140" s="3" t="s">
        <v>26</v>
      </c>
      <c r="S140" s="3"/>
      <c r="T140" s="3"/>
      <c r="U140" s="5" t="s">
        <v>155</v>
      </c>
      <c r="V140" s="3">
        <v>709</v>
      </c>
      <c r="W140" s="3">
        <v>0</v>
      </c>
      <c r="X140" s="3" t="s">
        <v>637</v>
      </c>
      <c r="Y140" s="3" t="s">
        <v>637</v>
      </c>
      <c r="Z140" s="4">
        <v>46259</v>
      </c>
      <c r="AA140" s="3" t="s">
        <v>638</v>
      </c>
      <c r="AB140" s="3" t="s">
        <v>639</v>
      </c>
      <c r="AC140" s="3"/>
      <c r="AD140" s="9" t="s">
        <v>643</v>
      </c>
    </row>
    <row r="141" spans="1:30" ht="15" customHeight="1" x14ac:dyDescent="0.3">
      <c r="A141" s="8">
        <f t="shared" si="2"/>
        <v>139</v>
      </c>
      <c r="B141" s="3" t="s">
        <v>21</v>
      </c>
      <c r="C141" s="3" t="s">
        <v>185</v>
      </c>
      <c r="D141" s="3" t="s">
        <v>159</v>
      </c>
      <c r="E141" s="3" t="s">
        <v>217</v>
      </c>
      <c r="F141" s="3">
        <v>1474</v>
      </c>
      <c r="G141" s="4">
        <v>46239</v>
      </c>
      <c r="H141" s="4"/>
      <c r="I141" s="3" t="s">
        <v>218</v>
      </c>
      <c r="J141" s="3" t="s">
        <v>28</v>
      </c>
      <c r="K141" s="3">
        <v>200</v>
      </c>
      <c r="L141" s="3">
        <v>2000</v>
      </c>
      <c r="M141" s="3" t="s">
        <v>32</v>
      </c>
      <c r="N141" s="4">
        <v>46241</v>
      </c>
      <c r="O141" s="4">
        <v>46241</v>
      </c>
      <c r="P141" s="3" t="s">
        <v>219</v>
      </c>
      <c r="Q141" s="3" t="s">
        <v>29</v>
      </c>
      <c r="R141" s="3" t="s">
        <v>26</v>
      </c>
      <c r="S141" s="3"/>
      <c r="T141" s="3"/>
      <c r="U141" s="5" t="s">
        <v>155</v>
      </c>
      <c r="V141" s="3">
        <v>709</v>
      </c>
      <c r="W141" s="3">
        <v>0</v>
      </c>
      <c r="X141" s="3" t="s">
        <v>97</v>
      </c>
      <c r="Y141" s="3" t="s">
        <v>97</v>
      </c>
      <c r="Z141" s="4">
        <v>46244</v>
      </c>
      <c r="AA141" s="5" t="s">
        <v>155</v>
      </c>
      <c r="AB141" s="3" t="s">
        <v>469</v>
      </c>
      <c r="AC141" s="3"/>
      <c r="AD141" s="9" t="s">
        <v>633</v>
      </c>
    </row>
    <row r="142" spans="1:30" ht="15" customHeight="1" x14ac:dyDescent="0.3">
      <c r="A142" s="8">
        <f t="shared" si="2"/>
        <v>140</v>
      </c>
      <c r="B142" s="3" t="s">
        <v>21</v>
      </c>
      <c r="C142" s="3" t="s">
        <v>185</v>
      </c>
      <c r="D142" s="3" t="s">
        <v>159</v>
      </c>
      <c r="E142" s="3" t="s">
        <v>186</v>
      </c>
      <c r="F142" s="3">
        <v>1475</v>
      </c>
      <c r="G142" s="4">
        <v>46239</v>
      </c>
      <c r="H142" s="4"/>
      <c r="I142" s="3" t="s">
        <v>31</v>
      </c>
      <c r="J142" s="3" t="s">
        <v>28</v>
      </c>
      <c r="K142" s="3">
        <v>51</v>
      </c>
      <c r="L142" s="3">
        <v>1020</v>
      </c>
      <c r="M142" s="3" t="s">
        <v>32</v>
      </c>
      <c r="N142" s="4">
        <v>46241</v>
      </c>
      <c r="O142" s="4">
        <v>46241</v>
      </c>
      <c r="P142" s="3" t="s">
        <v>219</v>
      </c>
      <c r="Q142" s="3" t="s">
        <v>29</v>
      </c>
      <c r="R142" s="3" t="s">
        <v>26</v>
      </c>
      <c r="S142" s="3"/>
      <c r="T142" s="3"/>
      <c r="U142" s="5" t="s">
        <v>155</v>
      </c>
      <c r="V142" s="3">
        <v>709</v>
      </c>
      <c r="W142" s="3">
        <v>0</v>
      </c>
      <c r="X142" s="3" t="s">
        <v>97</v>
      </c>
      <c r="Y142" s="3" t="s">
        <v>97</v>
      </c>
      <c r="Z142" s="4">
        <v>46244</v>
      </c>
      <c r="AA142" s="5" t="s">
        <v>155</v>
      </c>
      <c r="AB142" s="3" t="s">
        <v>469</v>
      </c>
      <c r="AC142" s="3"/>
      <c r="AD142" s="9" t="s">
        <v>633</v>
      </c>
    </row>
    <row r="143" spans="1:30" ht="15" customHeight="1" x14ac:dyDescent="0.3">
      <c r="A143" s="8">
        <f t="shared" si="2"/>
        <v>141</v>
      </c>
      <c r="B143" s="3" t="s">
        <v>21</v>
      </c>
      <c r="C143" s="3" t="s">
        <v>44</v>
      </c>
      <c r="D143" s="3" t="s">
        <v>45</v>
      </c>
      <c r="E143" s="3" t="s">
        <v>187</v>
      </c>
      <c r="F143" s="3">
        <v>1476</v>
      </c>
      <c r="G143" s="4">
        <v>46239</v>
      </c>
      <c r="H143" s="4"/>
      <c r="I143" s="3" t="s">
        <v>31</v>
      </c>
      <c r="J143" s="3" t="s">
        <v>28</v>
      </c>
      <c r="K143" s="3">
        <v>15</v>
      </c>
      <c r="L143" s="3">
        <v>300</v>
      </c>
      <c r="M143" s="3" t="s">
        <v>32</v>
      </c>
      <c r="N143" s="4">
        <v>46256</v>
      </c>
      <c r="O143" s="4">
        <v>46258</v>
      </c>
      <c r="P143" s="3" t="s">
        <v>219</v>
      </c>
      <c r="Q143" s="3" t="s">
        <v>29</v>
      </c>
      <c r="R143" s="3" t="s">
        <v>26</v>
      </c>
      <c r="S143" s="3"/>
      <c r="T143" s="3"/>
      <c r="U143" s="5" t="s">
        <v>155</v>
      </c>
      <c r="V143" s="3">
        <v>709</v>
      </c>
      <c r="W143" s="3">
        <v>0</v>
      </c>
      <c r="X143" s="3" t="s">
        <v>97</v>
      </c>
      <c r="Y143" s="3" t="s">
        <v>97</v>
      </c>
      <c r="Z143" s="4">
        <v>46256</v>
      </c>
      <c r="AA143" s="3" t="s">
        <v>308</v>
      </c>
      <c r="AB143" s="3" t="s">
        <v>472</v>
      </c>
      <c r="AC143" s="3" t="s">
        <v>629</v>
      </c>
      <c r="AD143" s="9" t="s">
        <v>633</v>
      </c>
    </row>
    <row r="144" spans="1:30" ht="15" hidden="1" customHeight="1" x14ac:dyDescent="0.3">
      <c r="A144" s="8">
        <f t="shared" si="2"/>
        <v>142</v>
      </c>
      <c r="B144" s="3" t="s">
        <v>21</v>
      </c>
      <c r="C144" s="3" t="s">
        <v>189</v>
      </c>
      <c r="D144" s="3" t="s">
        <v>190</v>
      </c>
      <c r="E144" s="3" t="s">
        <v>188</v>
      </c>
      <c r="F144" s="3">
        <v>1477</v>
      </c>
      <c r="G144" s="4">
        <v>46239</v>
      </c>
      <c r="H144" s="4"/>
      <c r="I144" s="3" t="s">
        <v>31</v>
      </c>
      <c r="J144" s="3" t="s">
        <v>28</v>
      </c>
      <c r="K144" s="3">
        <v>15</v>
      </c>
      <c r="L144" s="3">
        <v>300</v>
      </c>
      <c r="M144" s="3" t="s">
        <v>32</v>
      </c>
      <c r="N144" s="3"/>
      <c r="O144" s="3"/>
      <c r="P144" s="3" t="s">
        <v>25</v>
      </c>
      <c r="Q144" s="3" t="s">
        <v>29</v>
      </c>
      <c r="R144" s="3" t="s">
        <v>26</v>
      </c>
      <c r="S144" s="3"/>
      <c r="T144" s="3"/>
      <c r="U144" s="5" t="s">
        <v>155</v>
      </c>
      <c r="V144" s="3">
        <v>709</v>
      </c>
      <c r="W144" s="3">
        <v>0</v>
      </c>
      <c r="X144" s="3" t="s">
        <v>25</v>
      </c>
      <c r="Y144" s="3" t="s">
        <v>25</v>
      </c>
      <c r="Z144" s="3"/>
      <c r="AA144" s="3"/>
      <c r="AB144" s="3"/>
      <c r="AC144" s="3"/>
      <c r="AD144" s="17" t="s">
        <v>652</v>
      </c>
    </row>
    <row r="145" spans="1:30" ht="15" hidden="1" customHeight="1" x14ac:dyDescent="0.3">
      <c r="A145" s="8">
        <f t="shared" si="2"/>
        <v>143</v>
      </c>
      <c r="B145" s="3" t="s">
        <v>21</v>
      </c>
      <c r="C145" s="3" t="s">
        <v>192</v>
      </c>
      <c r="D145" s="3" t="s">
        <v>139</v>
      </c>
      <c r="E145" s="3" t="s">
        <v>191</v>
      </c>
      <c r="F145" s="3">
        <v>1478</v>
      </c>
      <c r="G145" s="4">
        <v>46239</v>
      </c>
      <c r="H145" s="4"/>
      <c r="I145" s="3" t="s">
        <v>34</v>
      </c>
      <c r="J145" s="3" t="s">
        <v>28</v>
      </c>
      <c r="K145" s="3">
        <v>15</v>
      </c>
      <c r="L145" s="3">
        <v>150</v>
      </c>
      <c r="M145" s="3" t="s">
        <v>32</v>
      </c>
      <c r="N145" s="4">
        <v>46259</v>
      </c>
      <c r="O145" s="4">
        <v>46259</v>
      </c>
      <c r="P145" s="3" t="s">
        <v>637</v>
      </c>
      <c r="Q145" s="3" t="s">
        <v>29</v>
      </c>
      <c r="R145" s="3" t="s">
        <v>26</v>
      </c>
      <c r="S145" s="3"/>
      <c r="T145" s="3"/>
      <c r="U145" s="5" t="s">
        <v>155</v>
      </c>
      <c r="V145" s="3">
        <v>709</v>
      </c>
      <c r="W145" s="3">
        <v>0</v>
      </c>
      <c r="X145" s="3" t="s">
        <v>637</v>
      </c>
      <c r="Y145" s="3" t="s">
        <v>637</v>
      </c>
      <c r="Z145" s="4">
        <v>46259</v>
      </c>
      <c r="AA145" s="3" t="s">
        <v>638</v>
      </c>
      <c r="AB145" s="3" t="s">
        <v>639</v>
      </c>
      <c r="AC145" s="3"/>
      <c r="AD145" s="9" t="s">
        <v>643</v>
      </c>
    </row>
    <row r="146" spans="1:30" ht="15" hidden="1" customHeight="1" x14ac:dyDescent="0.3">
      <c r="A146" s="8">
        <f t="shared" si="2"/>
        <v>144</v>
      </c>
      <c r="B146" s="3" t="s">
        <v>21</v>
      </c>
      <c r="C146" s="3" t="s">
        <v>192</v>
      </c>
      <c r="D146" s="3" t="s">
        <v>139</v>
      </c>
      <c r="E146" s="3" t="s">
        <v>193</v>
      </c>
      <c r="F146" s="3">
        <v>1479</v>
      </c>
      <c r="G146" s="4">
        <v>46239</v>
      </c>
      <c r="H146" s="4"/>
      <c r="I146" s="3" t="s">
        <v>34</v>
      </c>
      <c r="J146" s="3" t="s">
        <v>28</v>
      </c>
      <c r="K146" s="3">
        <v>3</v>
      </c>
      <c r="L146" s="3">
        <v>60</v>
      </c>
      <c r="M146" s="3" t="s">
        <v>32</v>
      </c>
      <c r="N146" s="3"/>
      <c r="O146" s="3"/>
      <c r="P146" s="3" t="s">
        <v>25</v>
      </c>
      <c r="Q146" s="3" t="s">
        <v>29</v>
      </c>
      <c r="R146" s="3" t="s">
        <v>26</v>
      </c>
      <c r="S146" s="3"/>
      <c r="T146" s="3"/>
      <c r="U146" s="5" t="s">
        <v>155</v>
      </c>
      <c r="V146" s="3">
        <v>709</v>
      </c>
      <c r="W146" s="3">
        <v>0</v>
      </c>
      <c r="X146" s="3" t="s">
        <v>25</v>
      </c>
      <c r="Y146" s="3" t="s">
        <v>25</v>
      </c>
      <c r="Z146" s="3"/>
      <c r="AA146" s="3"/>
      <c r="AB146" s="3"/>
      <c r="AC146" s="3"/>
      <c r="AD146" s="17" t="s">
        <v>652</v>
      </c>
    </row>
    <row r="147" spans="1:30" ht="15" customHeight="1" x14ac:dyDescent="0.3">
      <c r="A147" s="8">
        <f t="shared" si="2"/>
        <v>145</v>
      </c>
      <c r="B147" s="3" t="s">
        <v>21</v>
      </c>
      <c r="C147" s="3" t="s">
        <v>195</v>
      </c>
      <c r="D147" s="3" t="s">
        <v>196</v>
      </c>
      <c r="E147" s="3" t="s">
        <v>194</v>
      </c>
      <c r="F147" s="3">
        <v>1480</v>
      </c>
      <c r="G147" s="4">
        <v>46239</v>
      </c>
      <c r="H147" s="4"/>
      <c r="I147" s="3" t="s">
        <v>31</v>
      </c>
      <c r="J147" s="3" t="s">
        <v>28</v>
      </c>
      <c r="K147" s="3">
        <v>18</v>
      </c>
      <c r="L147" s="3">
        <v>360</v>
      </c>
      <c r="M147" s="3" t="s">
        <v>32</v>
      </c>
      <c r="N147" s="4">
        <v>46256</v>
      </c>
      <c r="O147" s="4">
        <v>46256</v>
      </c>
      <c r="P147" s="3" t="s">
        <v>219</v>
      </c>
      <c r="Q147" s="3" t="s">
        <v>29</v>
      </c>
      <c r="R147" s="3" t="s">
        <v>26</v>
      </c>
      <c r="S147" s="3"/>
      <c r="T147" s="3"/>
      <c r="U147" s="5" t="s">
        <v>155</v>
      </c>
      <c r="V147" s="3">
        <v>709</v>
      </c>
      <c r="W147" s="3">
        <v>0</v>
      </c>
      <c r="X147" s="3" t="s">
        <v>97</v>
      </c>
      <c r="Y147" s="3" t="s">
        <v>97</v>
      </c>
      <c r="Z147" s="3" t="s">
        <v>600</v>
      </c>
      <c r="AA147" s="3" t="s">
        <v>636</v>
      </c>
      <c r="AB147" s="3"/>
      <c r="AC147" s="3"/>
      <c r="AD147" s="9" t="s">
        <v>633</v>
      </c>
    </row>
    <row r="148" spans="1:30" ht="15" customHeight="1" x14ac:dyDescent="0.3">
      <c r="A148" s="8">
        <f t="shared" si="2"/>
        <v>146</v>
      </c>
      <c r="B148" s="3" t="s">
        <v>21</v>
      </c>
      <c r="C148" s="3" t="s">
        <v>195</v>
      </c>
      <c r="D148" s="3" t="s">
        <v>196</v>
      </c>
      <c r="E148" s="3" t="s">
        <v>197</v>
      </c>
      <c r="F148" s="3">
        <v>1481</v>
      </c>
      <c r="G148" s="4">
        <v>46239</v>
      </c>
      <c r="H148" s="4"/>
      <c r="I148" s="3" t="s">
        <v>24</v>
      </c>
      <c r="J148" s="3" t="s">
        <v>28</v>
      </c>
      <c r="K148" s="3">
        <v>8</v>
      </c>
      <c r="L148" s="3">
        <v>96</v>
      </c>
      <c r="M148" s="3" t="s">
        <v>32</v>
      </c>
      <c r="N148" s="4">
        <v>46256</v>
      </c>
      <c r="O148" s="4">
        <v>46256</v>
      </c>
      <c r="P148" s="3" t="s">
        <v>219</v>
      </c>
      <c r="Q148" s="3" t="s">
        <v>29</v>
      </c>
      <c r="R148" s="3" t="s">
        <v>26</v>
      </c>
      <c r="S148" s="3"/>
      <c r="T148" s="3"/>
      <c r="U148" s="5" t="s">
        <v>155</v>
      </c>
      <c r="V148" s="3">
        <v>709</v>
      </c>
      <c r="W148" s="3">
        <v>0</v>
      </c>
      <c r="X148" s="3" t="s">
        <v>97</v>
      </c>
      <c r="Y148" s="3" t="s">
        <v>97</v>
      </c>
      <c r="Z148" s="3" t="s">
        <v>600</v>
      </c>
      <c r="AA148" s="3" t="s">
        <v>636</v>
      </c>
      <c r="AB148" s="3"/>
      <c r="AC148" s="3"/>
      <c r="AD148" s="9" t="s">
        <v>633</v>
      </c>
    </row>
    <row r="149" spans="1:30" ht="15" customHeight="1" x14ac:dyDescent="0.3">
      <c r="A149" s="8">
        <f t="shared" si="2"/>
        <v>147</v>
      </c>
      <c r="B149" s="3" t="s">
        <v>21</v>
      </c>
      <c r="C149" s="3" t="s">
        <v>199</v>
      </c>
      <c r="D149" s="3" t="s">
        <v>200</v>
      </c>
      <c r="E149" s="3" t="s">
        <v>198</v>
      </c>
      <c r="F149" s="18">
        <v>1482</v>
      </c>
      <c r="G149" s="4">
        <v>46239</v>
      </c>
      <c r="H149" s="4"/>
      <c r="I149" s="3" t="s">
        <v>31</v>
      </c>
      <c r="J149" s="3" t="s">
        <v>28</v>
      </c>
      <c r="K149" s="3">
        <v>9</v>
      </c>
      <c r="L149" s="3">
        <v>180</v>
      </c>
      <c r="M149" s="3" t="s">
        <v>32</v>
      </c>
      <c r="N149" s="4">
        <v>46245</v>
      </c>
      <c r="O149" s="4">
        <v>46244</v>
      </c>
      <c r="P149" s="3" t="s">
        <v>219</v>
      </c>
      <c r="Q149" s="3" t="s">
        <v>29</v>
      </c>
      <c r="R149" s="3" t="s">
        <v>26</v>
      </c>
      <c r="S149" s="3"/>
      <c r="T149" s="3"/>
      <c r="U149" s="5" t="s">
        <v>155</v>
      </c>
      <c r="V149" s="3">
        <v>709</v>
      </c>
      <c r="W149" s="3">
        <v>0</v>
      </c>
      <c r="X149" s="3" t="s">
        <v>97</v>
      </c>
      <c r="Y149" s="3" t="s">
        <v>97</v>
      </c>
      <c r="Z149" s="4">
        <v>46244</v>
      </c>
      <c r="AA149" s="3" t="s">
        <v>223</v>
      </c>
      <c r="AB149" s="3" t="s">
        <v>480</v>
      </c>
      <c r="AC149" s="3" t="s">
        <v>619</v>
      </c>
      <c r="AD149" s="9" t="s">
        <v>633</v>
      </c>
    </row>
    <row r="150" spans="1:30" ht="15" customHeight="1" x14ac:dyDescent="0.3">
      <c r="A150" s="8">
        <f t="shared" si="2"/>
        <v>148</v>
      </c>
      <c r="B150" s="3" t="s">
        <v>21</v>
      </c>
      <c r="C150" s="3" t="s">
        <v>199</v>
      </c>
      <c r="D150" s="3" t="s">
        <v>200</v>
      </c>
      <c r="E150" s="3" t="s">
        <v>201</v>
      </c>
      <c r="F150" s="18">
        <v>1483</v>
      </c>
      <c r="G150" s="4">
        <v>46239</v>
      </c>
      <c r="H150" s="4"/>
      <c r="I150" s="3" t="s">
        <v>34</v>
      </c>
      <c r="J150" s="3" t="s">
        <v>28</v>
      </c>
      <c r="K150" s="3">
        <v>10</v>
      </c>
      <c r="L150" s="3">
        <v>100</v>
      </c>
      <c r="M150" s="3" t="s">
        <v>32</v>
      </c>
      <c r="N150" s="4">
        <v>46245</v>
      </c>
      <c r="O150" s="4">
        <v>46244</v>
      </c>
      <c r="P150" s="3" t="s">
        <v>219</v>
      </c>
      <c r="Q150" s="3" t="s">
        <v>29</v>
      </c>
      <c r="R150" s="3" t="s">
        <v>26</v>
      </c>
      <c r="S150" s="3"/>
      <c r="T150" s="3"/>
      <c r="U150" s="5" t="s">
        <v>155</v>
      </c>
      <c r="V150" s="3">
        <v>709</v>
      </c>
      <c r="W150" s="3">
        <v>0</v>
      </c>
      <c r="X150" s="3" t="s">
        <v>97</v>
      </c>
      <c r="Y150" s="3" t="s">
        <v>97</v>
      </c>
      <c r="Z150" s="4">
        <v>46244</v>
      </c>
      <c r="AA150" s="3" t="s">
        <v>223</v>
      </c>
      <c r="AB150" s="3" t="s">
        <v>480</v>
      </c>
      <c r="AC150" s="3" t="s">
        <v>619</v>
      </c>
      <c r="AD150" s="9" t="s">
        <v>633</v>
      </c>
    </row>
    <row r="151" spans="1:30" ht="15" customHeight="1" x14ac:dyDescent="0.3">
      <c r="A151" s="8">
        <f t="shared" si="2"/>
        <v>149</v>
      </c>
      <c r="B151" s="3" t="s">
        <v>21</v>
      </c>
      <c r="C151" s="3" t="s">
        <v>221</v>
      </c>
      <c r="D151" s="3" t="s">
        <v>200</v>
      </c>
      <c r="E151" s="3" t="s">
        <v>222</v>
      </c>
      <c r="F151" s="18">
        <v>1483</v>
      </c>
      <c r="G151" s="4">
        <v>46241</v>
      </c>
      <c r="H151" s="4"/>
      <c r="I151" s="3" t="s">
        <v>31</v>
      </c>
      <c r="J151" s="3" t="s">
        <v>28</v>
      </c>
      <c r="K151" s="3">
        <v>6</v>
      </c>
      <c r="L151" s="3">
        <v>120</v>
      </c>
      <c r="M151" s="3" t="s">
        <v>32</v>
      </c>
      <c r="N151" s="4">
        <v>46245</v>
      </c>
      <c r="O151" s="4">
        <v>46244</v>
      </c>
      <c r="P151" s="3" t="s">
        <v>219</v>
      </c>
      <c r="Q151" s="3" t="s">
        <v>29</v>
      </c>
      <c r="R151" s="3" t="s">
        <v>26</v>
      </c>
      <c r="S151" s="3"/>
      <c r="T151" s="3"/>
      <c r="U151" s="5" t="s">
        <v>223</v>
      </c>
      <c r="V151" s="3">
        <v>709</v>
      </c>
      <c r="W151" s="3">
        <v>0</v>
      </c>
      <c r="X151" s="3" t="s">
        <v>97</v>
      </c>
      <c r="Y151" s="3" t="s">
        <v>97</v>
      </c>
      <c r="Z151" s="4">
        <v>46244</v>
      </c>
      <c r="AA151" s="3" t="s">
        <v>223</v>
      </c>
      <c r="AB151" s="3" t="s">
        <v>480</v>
      </c>
      <c r="AC151" s="3" t="s">
        <v>619</v>
      </c>
      <c r="AD151" s="9" t="s">
        <v>633</v>
      </c>
    </row>
    <row r="152" spans="1:30" ht="15" customHeight="1" x14ac:dyDescent="0.3">
      <c r="A152" s="8">
        <f t="shared" si="2"/>
        <v>150</v>
      </c>
      <c r="B152" s="3" t="s">
        <v>21</v>
      </c>
      <c r="C152" s="3" t="s">
        <v>203</v>
      </c>
      <c r="D152" s="3" t="s">
        <v>147</v>
      </c>
      <c r="E152" s="3" t="s">
        <v>202</v>
      </c>
      <c r="F152" s="3">
        <v>1484</v>
      </c>
      <c r="G152" s="4">
        <v>46239</v>
      </c>
      <c r="H152" s="4"/>
      <c r="I152" s="3" t="s">
        <v>34</v>
      </c>
      <c r="J152" s="3" t="s">
        <v>28</v>
      </c>
      <c r="K152" s="3">
        <v>10</v>
      </c>
      <c r="L152" s="3">
        <v>100</v>
      </c>
      <c r="M152" s="3" t="s">
        <v>32</v>
      </c>
      <c r="N152" s="4">
        <v>46246</v>
      </c>
      <c r="O152" s="4">
        <v>46247</v>
      </c>
      <c r="P152" s="3" t="s">
        <v>219</v>
      </c>
      <c r="Q152" s="3" t="s">
        <v>29</v>
      </c>
      <c r="R152" s="3" t="s">
        <v>26</v>
      </c>
      <c r="S152" s="3"/>
      <c r="T152" s="3"/>
      <c r="U152" s="5" t="s">
        <v>155</v>
      </c>
      <c r="V152" s="3">
        <v>709</v>
      </c>
      <c r="W152" s="3">
        <v>0</v>
      </c>
      <c r="X152" s="3" t="s">
        <v>97</v>
      </c>
      <c r="Y152" s="3" t="s">
        <v>97</v>
      </c>
      <c r="Z152" s="4">
        <v>46241</v>
      </c>
      <c r="AA152" s="3" t="s">
        <v>470</v>
      </c>
      <c r="AB152" s="3" t="s">
        <v>472</v>
      </c>
      <c r="AC152" s="3" t="s">
        <v>630</v>
      </c>
      <c r="AD152" s="9" t="s">
        <v>633</v>
      </c>
    </row>
    <row r="153" spans="1:30" ht="15" customHeight="1" x14ac:dyDescent="0.3">
      <c r="A153" s="8">
        <f t="shared" si="2"/>
        <v>151</v>
      </c>
      <c r="B153" s="3" t="s">
        <v>21</v>
      </c>
      <c r="C153" s="3" t="s">
        <v>203</v>
      </c>
      <c r="D153" s="3" t="s">
        <v>147</v>
      </c>
      <c r="E153" s="3" t="s">
        <v>204</v>
      </c>
      <c r="F153" s="3">
        <v>1485</v>
      </c>
      <c r="G153" s="4">
        <v>46239</v>
      </c>
      <c r="H153" s="4"/>
      <c r="I153" s="3" t="s">
        <v>31</v>
      </c>
      <c r="J153" s="3" t="s">
        <v>28</v>
      </c>
      <c r="K153" s="3">
        <v>3</v>
      </c>
      <c r="L153" s="3">
        <v>60</v>
      </c>
      <c r="M153" s="3" t="s">
        <v>32</v>
      </c>
      <c r="N153" s="4">
        <v>46246</v>
      </c>
      <c r="O153" s="4">
        <v>46247</v>
      </c>
      <c r="P153" s="3" t="s">
        <v>219</v>
      </c>
      <c r="Q153" s="3" t="s">
        <v>29</v>
      </c>
      <c r="R153" s="3" t="s">
        <v>26</v>
      </c>
      <c r="S153" s="3"/>
      <c r="T153" s="3"/>
      <c r="U153" s="5" t="s">
        <v>155</v>
      </c>
      <c r="V153" s="3">
        <v>709</v>
      </c>
      <c r="W153" s="3">
        <v>0</v>
      </c>
      <c r="X153" s="3" t="s">
        <v>97</v>
      </c>
      <c r="Y153" s="3" t="s">
        <v>97</v>
      </c>
      <c r="Z153" s="4">
        <v>46243</v>
      </c>
      <c r="AA153" s="3" t="s">
        <v>64</v>
      </c>
      <c r="AB153" s="3" t="s">
        <v>479</v>
      </c>
      <c r="AC153" s="3" t="s">
        <v>614</v>
      </c>
      <c r="AD153" s="9" t="s">
        <v>633</v>
      </c>
    </row>
    <row r="154" spans="1:30" ht="15" customHeight="1" x14ac:dyDescent="0.3">
      <c r="A154" s="8">
        <f t="shared" si="2"/>
        <v>152</v>
      </c>
      <c r="B154" s="3" t="s">
        <v>21</v>
      </c>
      <c r="C154" s="3" t="s">
        <v>203</v>
      </c>
      <c r="D154" s="3" t="s">
        <v>147</v>
      </c>
      <c r="E154" s="3" t="s">
        <v>205</v>
      </c>
      <c r="F154" s="3">
        <v>1486</v>
      </c>
      <c r="G154" s="4">
        <v>46239</v>
      </c>
      <c r="H154" s="4"/>
      <c r="I154" s="3" t="s">
        <v>24</v>
      </c>
      <c r="J154" s="3" t="s">
        <v>28</v>
      </c>
      <c r="K154" s="3">
        <v>4</v>
      </c>
      <c r="L154" s="3">
        <v>48</v>
      </c>
      <c r="M154" s="3" t="s">
        <v>32</v>
      </c>
      <c r="N154" s="4">
        <v>46246</v>
      </c>
      <c r="O154" s="4">
        <v>46247</v>
      </c>
      <c r="P154" s="3" t="s">
        <v>219</v>
      </c>
      <c r="Q154" s="3" t="s">
        <v>29</v>
      </c>
      <c r="R154" s="3" t="s">
        <v>26</v>
      </c>
      <c r="S154" s="3"/>
      <c r="T154" s="3"/>
      <c r="U154" s="5" t="s">
        <v>155</v>
      </c>
      <c r="V154" s="3">
        <v>709</v>
      </c>
      <c r="W154" s="3">
        <v>0</v>
      </c>
      <c r="X154" s="3" t="s">
        <v>97</v>
      </c>
      <c r="Y154" s="3" t="s">
        <v>97</v>
      </c>
      <c r="Z154" s="4">
        <v>46243</v>
      </c>
      <c r="AA154" s="3" t="s">
        <v>64</v>
      </c>
      <c r="AB154" s="3" t="s">
        <v>479</v>
      </c>
      <c r="AC154" s="3" t="s">
        <v>614</v>
      </c>
      <c r="AD154" s="9" t="s">
        <v>633</v>
      </c>
    </row>
    <row r="155" spans="1:30" ht="15" hidden="1" customHeight="1" x14ac:dyDescent="0.3">
      <c r="A155" s="8">
        <f t="shared" si="2"/>
        <v>153</v>
      </c>
      <c r="B155" s="3" t="s">
        <v>21</v>
      </c>
      <c r="C155" s="3" t="s">
        <v>207</v>
      </c>
      <c r="D155" s="3" t="s">
        <v>208</v>
      </c>
      <c r="E155" s="3" t="s">
        <v>206</v>
      </c>
      <c r="F155" s="3">
        <v>1487</v>
      </c>
      <c r="G155" s="4">
        <v>46239</v>
      </c>
      <c r="H155" s="4"/>
      <c r="I155" s="3" t="s">
        <v>31</v>
      </c>
      <c r="J155" s="3" t="s">
        <v>28</v>
      </c>
      <c r="K155" s="3">
        <v>24</v>
      </c>
      <c r="L155" s="3">
        <v>480</v>
      </c>
      <c r="M155" s="3" t="s">
        <v>32</v>
      </c>
      <c r="N155" s="4">
        <v>46262</v>
      </c>
      <c r="O155" s="3"/>
      <c r="P155" s="3" t="s">
        <v>25</v>
      </c>
      <c r="Q155" s="3" t="s">
        <v>29</v>
      </c>
      <c r="R155" s="3" t="s">
        <v>26</v>
      </c>
      <c r="S155" s="3"/>
      <c r="T155" s="3"/>
      <c r="U155" s="5" t="s">
        <v>155</v>
      </c>
      <c r="V155" s="3">
        <v>709</v>
      </c>
      <c r="W155" s="3">
        <v>0</v>
      </c>
      <c r="X155" s="3" t="s">
        <v>25</v>
      </c>
      <c r="Y155" s="3" t="s">
        <v>25</v>
      </c>
      <c r="Z155" s="4">
        <v>46253</v>
      </c>
      <c r="AA155" s="3" t="s">
        <v>363</v>
      </c>
      <c r="AB155" s="3" t="s">
        <v>472</v>
      </c>
      <c r="AC155" s="3" t="s">
        <v>631</v>
      </c>
      <c r="AD155" s="17" t="s">
        <v>652</v>
      </c>
    </row>
    <row r="156" spans="1:30" ht="15" customHeight="1" x14ac:dyDescent="0.3">
      <c r="A156" s="8">
        <f t="shared" si="2"/>
        <v>154</v>
      </c>
      <c r="B156" s="3" t="s">
        <v>21</v>
      </c>
      <c r="C156" s="3" t="s">
        <v>209</v>
      </c>
      <c r="D156" s="3" t="s">
        <v>147</v>
      </c>
      <c r="E156" s="3" t="s">
        <v>210</v>
      </c>
      <c r="F156" s="3">
        <v>1488</v>
      </c>
      <c r="G156" s="4">
        <v>46239</v>
      </c>
      <c r="H156" s="4"/>
      <c r="I156" s="3" t="s">
        <v>34</v>
      </c>
      <c r="J156" s="3" t="s">
        <v>28</v>
      </c>
      <c r="K156" s="3">
        <v>15</v>
      </c>
      <c r="L156" s="3">
        <v>150</v>
      </c>
      <c r="M156" s="3" t="s">
        <v>32</v>
      </c>
      <c r="N156" s="4">
        <v>46246</v>
      </c>
      <c r="O156" s="4">
        <v>46247</v>
      </c>
      <c r="P156" s="3" t="s">
        <v>219</v>
      </c>
      <c r="Q156" s="3" t="s">
        <v>29</v>
      </c>
      <c r="R156" s="3" t="s">
        <v>26</v>
      </c>
      <c r="S156" s="3"/>
      <c r="T156" s="3"/>
      <c r="U156" s="5" t="s">
        <v>155</v>
      </c>
      <c r="V156" s="3">
        <v>709</v>
      </c>
      <c r="W156" s="3">
        <v>0</v>
      </c>
      <c r="X156" s="3" t="s">
        <v>97</v>
      </c>
      <c r="Y156" s="3" t="s">
        <v>97</v>
      </c>
      <c r="Z156" s="4">
        <v>46241</v>
      </c>
      <c r="AA156" s="3" t="s">
        <v>470</v>
      </c>
      <c r="AB156" s="3" t="s">
        <v>472</v>
      </c>
      <c r="AC156" s="3" t="s">
        <v>630</v>
      </c>
      <c r="AD156" s="9" t="s">
        <v>633</v>
      </c>
    </row>
    <row r="157" spans="1:30" ht="15" customHeight="1" x14ac:dyDescent="0.3">
      <c r="A157" s="8">
        <f t="shared" si="2"/>
        <v>155</v>
      </c>
      <c r="B157" s="3" t="s">
        <v>21</v>
      </c>
      <c r="C157" s="3" t="s">
        <v>209</v>
      </c>
      <c r="D157" s="3" t="s">
        <v>147</v>
      </c>
      <c r="E157" s="3" t="s">
        <v>211</v>
      </c>
      <c r="F157" s="3">
        <v>1489</v>
      </c>
      <c r="G157" s="4">
        <v>46239</v>
      </c>
      <c r="H157" s="4"/>
      <c r="I157" s="3" t="s">
        <v>31</v>
      </c>
      <c r="J157" s="3" t="s">
        <v>28</v>
      </c>
      <c r="K157" s="3">
        <v>18</v>
      </c>
      <c r="L157" s="3">
        <v>360</v>
      </c>
      <c r="M157" s="3" t="s">
        <v>32</v>
      </c>
      <c r="N157" s="4">
        <v>46246</v>
      </c>
      <c r="O157" s="4">
        <v>46247</v>
      </c>
      <c r="P157" s="3" t="s">
        <v>219</v>
      </c>
      <c r="Q157" s="3" t="s">
        <v>29</v>
      </c>
      <c r="R157" s="3" t="s">
        <v>26</v>
      </c>
      <c r="S157" s="3"/>
      <c r="T157" s="3"/>
      <c r="U157" s="5" t="s">
        <v>155</v>
      </c>
      <c r="V157" s="3">
        <v>709</v>
      </c>
      <c r="W157" s="3">
        <v>0</v>
      </c>
      <c r="X157" s="3" t="s">
        <v>97</v>
      </c>
      <c r="Y157" s="3" t="s">
        <v>97</v>
      </c>
      <c r="Z157" s="4">
        <v>46241</v>
      </c>
      <c r="AA157" s="3" t="s">
        <v>470</v>
      </c>
      <c r="AB157" s="3" t="s">
        <v>472</v>
      </c>
      <c r="AC157" s="3" t="s">
        <v>630</v>
      </c>
      <c r="AD157" s="9" t="s">
        <v>633</v>
      </c>
    </row>
    <row r="158" spans="1:30" ht="15" customHeight="1" x14ac:dyDescent="0.3">
      <c r="A158" s="8">
        <f t="shared" si="2"/>
        <v>156</v>
      </c>
      <c r="B158" s="3" t="s">
        <v>21</v>
      </c>
      <c r="C158" s="3" t="s">
        <v>209</v>
      </c>
      <c r="D158" s="3" t="s">
        <v>147</v>
      </c>
      <c r="E158" s="3" t="s">
        <v>212</v>
      </c>
      <c r="F158" s="3">
        <v>1490</v>
      </c>
      <c r="G158" s="4">
        <v>46239</v>
      </c>
      <c r="H158" s="4"/>
      <c r="I158" s="3" t="s">
        <v>24</v>
      </c>
      <c r="J158" s="3" t="s">
        <v>28</v>
      </c>
      <c r="K158" s="3">
        <v>8</v>
      </c>
      <c r="L158" s="3">
        <v>96</v>
      </c>
      <c r="M158" s="3" t="s">
        <v>32</v>
      </c>
      <c r="N158" s="4">
        <v>46246</v>
      </c>
      <c r="O158" s="4">
        <v>46247</v>
      </c>
      <c r="P158" s="3" t="s">
        <v>219</v>
      </c>
      <c r="Q158" s="3" t="s">
        <v>29</v>
      </c>
      <c r="R158" s="3" t="s">
        <v>26</v>
      </c>
      <c r="S158" s="3"/>
      <c r="T158" s="3"/>
      <c r="U158" s="5" t="s">
        <v>155</v>
      </c>
      <c r="V158" s="3">
        <v>709</v>
      </c>
      <c r="W158" s="3">
        <v>0</v>
      </c>
      <c r="X158" s="3" t="s">
        <v>97</v>
      </c>
      <c r="Y158" s="3" t="s">
        <v>97</v>
      </c>
      <c r="Z158" s="4">
        <v>46241</v>
      </c>
      <c r="AA158" s="3" t="s">
        <v>470</v>
      </c>
      <c r="AB158" s="3" t="s">
        <v>472</v>
      </c>
      <c r="AC158" s="3" t="s">
        <v>630</v>
      </c>
      <c r="AD158" s="9" t="s">
        <v>633</v>
      </c>
    </row>
    <row r="159" spans="1:30" ht="15" customHeight="1" x14ac:dyDescent="0.3">
      <c r="A159" s="8">
        <f t="shared" si="2"/>
        <v>157</v>
      </c>
      <c r="B159" s="3" t="s">
        <v>21</v>
      </c>
      <c r="C159" s="3" t="s">
        <v>213</v>
      </c>
      <c r="D159" s="3" t="s">
        <v>214</v>
      </c>
      <c r="E159" s="3" t="s">
        <v>215</v>
      </c>
      <c r="F159" s="18">
        <v>1491</v>
      </c>
      <c r="G159" s="4">
        <v>46239</v>
      </c>
      <c r="H159" s="4"/>
      <c r="I159" s="3" t="s">
        <v>31</v>
      </c>
      <c r="J159" s="3" t="s">
        <v>28</v>
      </c>
      <c r="K159" s="3">
        <v>12</v>
      </c>
      <c r="L159" s="3">
        <v>240</v>
      </c>
      <c r="M159" s="3" t="s">
        <v>32</v>
      </c>
      <c r="N159" s="4">
        <v>46249</v>
      </c>
      <c r="O159" s="4">
        <v>46252</v>
      </c>
      <c r="P159" s="3" t="s">
        <v>219</v>
      </c>
      <c r="Q159" s="3" t="s">
        <v>29</v>
      </c>
      <c r="R159" s="3" t="s">
        <v>26</v>
      </c>
      <c r="S159" s="3"/>
      <c r="T159" s="3"/>
      <c r="U159" s="5" t="s">
        <v>155</v>
      </c>
      <c r="V159" s="3">
        <v>709</v>
      </c>
      <c r="W159" s="3">
        <v>0</v>
      </c>
      <c r="X159" s="3" t="s">
        <v>97</v>
      </c>
      <c r="Y159" s="3" t="s">
        <v>97</v>
      </c>
      <c r="Z159" s="4">
        <v>46249</v>
      </c>
      <c r="AA159" s="5" t="s">
        <v>155</v>
      </c>
      <c r="AB159" s="3" t="s">
        <v>469</v>
      </c>
      <c r="AC159" s="3"/>
      <c r="AD159" s="9" t="s">
        <v>633</v>
      </c>
    </row>
    <row r="160" spans="1:30" ht="15" customHeight="1" x14ac:dyDescent="0.3">
      <c r="A160" s="8">
        <f t="shared" si="2"/>
        <v>158</v>
      </c>
      <c r="B160" s="3" t="s">
        <v>21</v>
      </c>
      <c r="C160" s="3" t="s">
        <v>213</v>
      </c>
      <c r="D160" s="3" t="s">
        <v>214</v>
      </c>
      <c r="E160" s="3" t="s">
        <v>216</v>
      </c>
      <c r="F160" s="18">
        <v>1492</v>
      </c>
      <c r="G160" s="4">
        <v>46239</v>
      </c>
      <c r="H160" s="4"/>
      <c r="I160" s="3" t="s">
        <v>34</v>
      </c>
      <c r="J160" s="3" t="s">
        <v>28</v>
      </c>
      <c r="K160" s="3">
        <v>20</v>
      </c>
      <c r="L160" s="3">
        <v>200</v>
      </c>
      <c r="M160" s="3" t="s">
        <v>32</v>
      </c>
      <c r="N160" s="4">
        <v>46249</v>
      </c>
      <c r="O160" s="4">
        <v>46252</v>
      </c>
      <c r="P160" s="3" t="s">
        <v>219</v>
      </c>
      <c r="Q160" s="3" t="s">
        <v>29</v>
      </c>
      <c r="R160" s="3" t="s">
        <v>26</v>
      </c>
      <c r="S160" s="3"/>
      <c r="T160" s="3"/>
      <c r="U160" s="5" t="s">
        <v>155</v>
      </c>
      <c r="V160" s="3">
        <v>709</v>
      </c>
      <c r="W160" s="3">
        <v>0</v>
      </c>
      <c r="X160" s="3" t="s">
        <v>97</v>
      </c>
      <c r="Y160" s="3" t="s">
        <v>97</v>
      </c>
      <c r="Z160" s="4">
        <v>46249</v>
      </c>
      <c r="AA160" s="5" t="s">
        <v>155</v>
      </c>
      <c r="AB160" s="3" t="s">
        <v>469</v>
      </c>
      <c r="AC160" s="3"/>
      <c r="AD160" s="9" t="s">
        <v>633</v>
      </c>
    </row>
    <row r="161" spans="1:30" ht="15" customHeight="1" x14ac:dyDescent="0.3">
      <c r="A161" s="8">
        <f t="shared" si="2"/>
        <v>159</v>
      </c>
      <c r="B161" s="3" t="s">
        <v>21</v>
      </c>
      <c r="C161" s="3" t="s">
        <v>221</v>
      </c>
      <c r="D161" s="3" t="s">
        <v>200</v>
      </c>
      <c r="E161" s="3" t="s">
        <v>224</v>
      </c>
      <c r="F161" s="18">
        <v>1494</v>
      </c>
      <c r="G161" s="4">
        <v>46241</v>
      </c>
      <c r="H161" s="4"/>
      <c r="I161" s="3" t="s">
        <v>34</v>
      </c>
      <c r="J161" s="3" t="s">
        <v>28</v>
      </c>
      <c r="K161" s="3">
        <v>30</v>
      </c>
      <c r="L161" s="3">
        <v>300</v>
      </c>
      <c r="M161" s="3" t="s">
        <v>32</v>
      </c>
      <c r="N161" s="4">
        <v>46245</v>
      </c>
      <c r="O161" s="4">
        <v>46244</v>
      </c>
      <c r="P161" s="3" t="s">
        <v>219</v>
      </c>
      <c r="Q161" s="3" t="s">
        <v>29</v>
      </c>
      <c r="R161" s="3" t="s">
        <v>26</v>
      </c>
      <c r="S161" s="3"/>
      <c r="T161" s="3"/>
      <c r="U161" s="5" t="s">
        <v>223</v>
      </c>
      <c r="V161" s="3">
        <v>709</v>
      </c>
      <c r="W161" s="3">
        <v>0</v>
      </c>
      <c r="X161" s="3" t="s">
        <v>97</v>
      </c>
      <c r="Y161" s="3" t="s">
        <v>97</v>
      </c>
      <c r="Z161" s="4">
        <v>46244</v>
      </c>
      <c r="AA161" s="3" t="s">
        <v>223</v>
      </c>
      <c r="AB161" s="3" t="s">
        <v>480</v>
      </c>
      <c r="AC161" s="3" t="s">
        <v>619</v>
      </c>
      <c r="AD161" s="9" t="s">
        <v>633</v>
      </c>
    </row>
    <row r="162" spans="1:30" ht="15" customHeight="1" x14ac:dyDescent="0.3">
      <c r="A162" s="8">
        <f t="shared" si="2"/>
        <v>160</v>
      </c>
      <c r="B162" s="3" t="s">
        <v>21</v>
      </c>
      <c r="C162" s="3" t="s">
        <v>221</v>
      </c>
      <c r="D162" s="3" t="s">
        <v>200</v>
      </c>
      <c r="E162" s="3" t="s">
        <v>225</v>
      </c>
      <c r="F162" s="18">
        <v>1495</v>
      </c>
      <c r="G162" s="4">
        <v>46241</v>
      </c>
      <c r="H162" s="4"/>
      <c r="I162" s="3" t="s">
        <v>226</v>
      </c>
      <c r="J162" s="3" t="s">
        <v>28</v>
      </c>
      <c r="K162" s="3">
        <v>300</v>
      </c>
      <c r="L162" s="3">
        <v>6000</v>
      </c>
      <c r="M162" s="3" t="s">
        <v>32</v>
      </c>
      <c r="N162" s="4">
        <v>46245</v>
      </c>
      <c r="O162" s="4">
        <v>46244</v>
      </c>
      <c r="P162" s="3" t="s">
        <v>219</v>
      </c>
      <c r="Q162" s="3" t="s">
        <v>29</v>
      </c>
      <c r="R162" s="3" t="s">
        <v>26</v>
      </c>
      <c r="S162" s="3"/>
      <c r="T162" s="3"/>
      <c r="U162" s="5" t="s">
        <v>223</v>
      </c>
      <c r="V162" s="3">
        <v>709</v>
      </c>
      <c r="W162" s="3">
        <v>0</v>
      </c>
      <c r="X162" s="3" t="s">
        <v>97</v>
      </c>
      <c r="Y162" s="3" t="s">
        <v>97</v>
      </c>
      <c r="Z162" s="4">
        <v>46244</v>
      </c>
      <c r="AA162" s="3" t="s">
        <v>223</v>
      </c>
      <c r="AB162" s="3" t="s">
        <v>480</v>
      </c>
      <c r="AC162" s="3" t="s">
        <v>619</v>
      </c>
      <c r="AD162" s="9" t="s">
        <v>633</v>
      </c>
    </row>
    <row r="163" spans="1:30" ht="15" hidden="1" customHeight="1" x14ac:dyDescent="0.3">
      <c r="A163" s="8">
        <f t="shared" si="2"/>
        <v>161</v>
      </c>
      <c r="B163" s="3" t="s">
        <v>21</v>
      </c>
      <c r="C163" s="3" t="s">
        <v>227</v>
      </c>
      <c r="D163" s="3" t="s">
        <v>99</v>
      </c>
      <c r="E163" s="3" t="s">
        <v>228</v>
      </c>
      <c r="F163" s="3">
        <v>1496</v>
      </c>
      <c r="G163" s="4">
        <v>46241</v>
      </c>
      <c r="H163" s="4"/>
      <c r="I163" s="3" t="s">
        <v>226</v>
      </c>
      <c r="J163" s="3" t="s">
        <v>28</v>
      </c>
      <c r="K163" s="3">
        <v>101</v>
      </c>
      <c r="L163" s="3">
        <f>K163*20</f>
        <v>2020</v>
      </c>
      <c r="M163" s="3" t="s">
        <v>32</v>
      </c>
      <c r="N163" s="4">
        <v>46245</v>
      </c>
      <c r="O163" s="4">
        <v>46244</v>
      </c>
      <c r="P163" s="3" t="s">
        <v>219</v>
      </c>
      <c r="Q163" s="3" t="s">
        <v>29</v>
      </c>
      <c r="R163" s="3" t="s">
        <v>26</v>
      </c>
      <c r="S163" s="3"/>
      <c r="T163" s="3"/>
      <c r="U163" s="5" t="s">
        <v>223</v>
      </c>
      <c r="V163" s="3">
        <v>709</v>
      </c>
      <c r="W163" s="3">
        <v>0</v>
      </c>
      <c r="X163" s="3" t="s">
        <v>97</v>
      </c>
      <c r="Y163" s="3" t="s">
        <v>97</v>
      </c>
      <c r="Z163" s="4">
        <v>46244</v>
      </c>
      <c r="AA163" s="3" t="s">
        <v>481</v>
      </c>
      <c r="AB163" s="3" t="s">
        <v>480</v>
      </c>
      <c r="AC163" s="3" t="s">
        <v>619</v>
      </c>
      <c r="AD163" s="9" t="s">
        <v>648</v>
      </c>
    </row>
    <row r="164" spans="1:30" ht="15" customHeight="1" x14ac:dyDescent="0.3">
      <c r="A164" s="8">
        <f t="shared" si="2"/>
        <v>162</v>
      </c>
      <c r="B164" s="3" t="s">
        <v>21</v>
      </c>
      <c r="C164" s="3" t="s">
        <v>229</v>
      </c>
      <c r="D164" s="3" t="s">
        <v>147</v>
      </c>
      <c r="E164" s="3" t="s">
        <v>230</v>
      </c>
      <c r="F164" s="3">
        <v>1497</v>
      </c>
      <c r="G164" s="4">
        <v>46241</v>
      </c>
      <c r="H164" s="4"/>
      <c r="I164" s="3" t="s">
        <v>31</v>
      </c>
      <c r="J164" s="3" t="s">
        <v>28</v>
      </c>
      <c r="K164" s="3">
        <v>15</v>
      </c>
      <c r="L164" s="3">
        <v>300</v>
      </c>
      <c r="M164" s="3" t="s">
        <v>32</v>
      </c>
      <c r="N164" s="4">
        <v>46246</v>
      </c>
      <c r="O164" s="4">
        <v>46247</v>
      </c>
      <c r="P164" s="3" t="s">
        <v>219</v>
      </c>
      <c r="Q164" s="3" t="s">
        <v>29</v>
      </c>
      <c r="R164" s="3" t="s">
        <v>26</v>
      </c>
      <c r="S164" s="3"/>
      <c r="T164" s="3"/>
      <c r="U164" s="5" t="s">
        <v>223</v>
      </c>
      <c r="V164" s="3">
        <v>709</v>
      </c>
      <c r="W164" s="3">
        <v>0</v>
      </c>
      <c r="X164" s="3" t="s">
        <v>97</v>
      </c>
      <c r="Y164" s="3" t="s">
        <v>97</v>
      </c>
      <c r="Z164" s="4">
        <v>46243</v>
      </c>
      <c r="AA164" s="3" t="s">
        <v>64</v>
      </c>
      <c r="AB164" s="3" t="s">
        <v>479</v>
      </c>
      <c r="AC164" s="3" t="s">
        <v>614</v>
      </c>
      <c r="AD164" s="9" t="s">
        <v>633</v>
      </c>
    </row>
    <row r="165" spans="1:30" ht="15" customHeight="1" x14ac:dyDescent="0.3">
      <c r="A165" s="8">
        <f t="shared" si="2"/>
        <v>163</v>
      </c>
      <c r="B165" s="3" t="s">
        <v>21</v>
      </c>
      <c r="C165" s="3" t="s">
        <v>229</v>
      </c>
      <c r="D165" s="3" t="s">
        <v>147</v>
      </c>
      <c r="E165" s="3" t="s">
        <v>231</v>
      </c>
      <c r="F165" s="3">
        <v>1498</v>
      </c>
      <c r="G165" s="4">
        <v>46241</v>
      </c>
      <c r="H165" s="4"/>
      <c r="I165" s="3" t="s">
        <v>24</v>
      </c>
      <c r="J165" s="3" t="s">
        <v>28</v>
      </c>
      <c r="K165" s="3">
        <v>8</v>
      </c>
      <c r="L165" s="3">
        <v>96</v>
      </c>
      <c r="M165" s="3" t="s">
        <v>32</v>
      </c>
      <c r="N165" s="4">
        <v>46246</v>
      </c>
      <c r="O165" s="4">
        <v>46247</v>
      </c>
      <c r="P165" s="3" t="s">
        <v>219</v>
      </c>
      <c r="Q165" s="3" t="s">
        <v>29</v>
      </c>
      <c r="R165" s="3" t="s">
        <v>26</v>
      </c>
      <c r="S165" s="3"/>
      <c r="T165" s="3"/>
      <c r="U165" s="5" t="s">
        <v>223</v>
      </c>
      <c r="V165" s="3">
        <v>709</v>
      </c>
      <c r="W165" s="3">
        <v>0</v>
      </c>
      <c r="X165" s="3" t="s">
        <v>97</v>
      </c>
      <c r="Y165" s="3" t="s">
        <v>97</v>
      </c>
      <c r="Z165" s="4">
        <v>46243</v>
      </c>
      <c r="AA165" s="3" t="s">
        <v>64</v>
      </c>
      <c r="AB165" s="3" t="s">
        <v>479</v>
      </c>
      <c r="AC165" s="3" t="s">
        <v>614</v>
      </c>
      <c r="AD165" s="9" t="s">
        <v>633</v>
      </c>
    </row>
    <row r="166" spans="1:30" ht="15" customHeight="1" x14ac:dyDescent="0.3">
      <c r="A166" s="8">
        <f t="shared" si="2"/>
        <v>164</v>
      </c>
      <c r="B166" s="3" t="s">
        <v>21</v>
      </c>
      <c r="C166" s="3" t="s">
        <v>229</v>
      </c>
      <c r="D166" s="3" t="s">
        <v>147</v>
      </c>
      <c r="E166" s="3" t="s">
        <v>232</v>
      </c>
      <c r="F166" s="3">
        <v>1499</v>
      </c>
      <c r="G166" s="4">
        <v>46241</v>
      </c>
      <c r="H166" s="4"/>
      <c r="I166" s="3" t="s">
        <v>34</v>
      </c>
      <c r="J166" s="3" t="s">
        <v>28</v>
      </c>
      <c r="K166" s="3">
        <v>30</v>
      </c>
      <c r="L166" s="3">
        <v>300</v>
      </c>
      <c r="M166" s="3" t="s">
        <v>32</v>
      </c>
      <c r="N166" s="4">
        <v>46246</v>
      </c>
      <c r="O166" s="4">
        <v>46247</v>
      </c>
      <c r="P166" s="3" t="s">
        <v>219</v>
      </c>
      <c r="Q166" s="3" t="s">
        <v>29</v>
      </c>
      <c r="R166" s="3" t="s">
        <v>26</v>
      </c>
      <c r="S166" s="3"/>
      <c r="T166" s="3"/>
      <c r="U166" s="5" t="s">
        <v>223</v>
      </c>
      <c r="V166" s="3">
        <v>709</v>
      </c>
      <c r="W166" s="3">
        <v>0</v>
      </c>
      <c r="X166" s="3" t="s">
        <v>97</v>
      </c>
      <c r="Y166" s="3" t="s">
        <v>97</v>
      </c>
      <c r="Z166" s="4">
        <v>46243</v>
      </c>
      <c r="AA166" s="3" t="s">
        <v>64</v>
      </c>
      <c r="AB166" s="3" t="s">
        <v>479</v>
      </c>
      <c r="AC166" s="3" t="s">
        <v>614</v>
      </c>
      <c r="AD166" s="9" t="s">
        <v>633</v>
      </c>
    </row>
    <row r="167" spans="1:30" ht="15" customHeight="1" x14ac:dyDescent="0.3">
      <c r="A167" s="8">
        <f t="shared" si="2"/>
        <v>165</v>
      </c>
      <c r="B167" s="3" t="s">
        <v>21</v>
      </c>
      <c r="C167" s="3" t="s">
        <v>233</v>
      </c>
      <c r="D167" s="3" t="s">
        <v>147</v>
      </c>
      <c r="E167" s="3" t="s">
        <v>234</v>
      </c>
      <c r="F167" s="3">
        <v>1500</v>
      </c>
      <c r="G167" s="4">
        <v>46241</v>
      </c>
      <c r="H167" s="4"/>
      <c r="I167" s="3" t="s">
        <v>34</v>
      </c>
      <c r="J167" s="3" t="s">
        <v>28</v>
      </c>
      <c r="K167" s="3">
        <v>20</v>
      </c>
      <c r="L167" s="3">
        <v>200</v>
      </c>
      <c r="M167" s="3" t="s">
        <v>32</v>
      </c>
      <c r="N167" s="4">
        <v>46246</v>
      </c>
      <c r="O167" s="4">
        <v>46247</v>
      </c>
      <c r="P167" s="3" t="s">
        <v>219</v>
      </c>
      <c r="Q167" s="3" t="s">
        <v>29</v>
      </c>
      <c r="R167" s="3" t="s">
        <v>26</v>
      </c>
      <c r="S167" s="3"/>
      <c r="T167" s="3"/>
      <c r="U167" s="5" t="s">
        <v>223</v>
      </c>
      <c r="V167" s="3">
        <v>709</v>
      </c>
      <c r="W167" s="3">
        <v>0</v>
      </c>
      <c r="X167" s="3" t="s">
        <v>97</v>
      </c>
      <c r="Y167" s="3" t="s">
        <v>97</v>
      </c>
      <c r="Z167" s="4">
        <v>46243</v>
      </c>
      <c r="AA167" s="3" t="s">
        <v>64</v>
      </c>
      <c r="AB167" s="3" t="s">
        <v>479</v>
      </c>
      <c r="AC167" s="3" t="s">
        <v>614</v>
      </c>
      <c r="AD167" s="9" t="s">
        <v>633</v>
      </c>
    </row>
    <row r="168" spans="1:30" ht="15" customHeight="1" x14ac:dyDescent="0.3">
      <c r="A168" s="8">
        <f t="shared" si="2"/>
        <v>166</v>
      </c>
      <c r="B168" s="3" t="s">
        <v>21</v>
      </c>
      <c r="C168" s="3" t="s">
        <v>344</v>
      </c>
      <c r="D168" s="3" t="s">
        <v>132</v>
      </c>
      <c r="E168" s="3" t="s">
        <v>345</v>
      </c>
      <c r="F168" s="3">
        <v>1362</v>
      </c>
      <c r="G168" s="4">
        <v>46244</v>
      </c>
      <c r="H168" s="4"/>
      <c r="I168" s="3" t="s">
        <v>335</v>
      </c>
      <c r="J168" s="3" t="s">
        <v>28</v>
      </c>
      <c r="K168" s="3">
        <v>50</v>
      </c>
      <c r="L168" s="3">
        <v>1000</v>
      </c>
      <c r="M168" s="3" t="s">
        <v>32</v>
      </c>
      <c r="N168" s="4">
        <v>46247</v>
      </c>
      <c r="O168" s="4">
        <v>46246</v>
      </c>
      <c r="P168" s="3" t="s">
        <v>219</v>
      </c>
      <c r="Q168" s="3" t="s">
        <v>29</v>
      </c>
      <c r="R168" s="3" t="s">
        <v>26</v>
      </c>
      <c r="S168" s="3"/>
      <c r="T168" s="3"/>
      <c r="U168" s="3" t="s">
        <v>155</v>
      </c>
      <c r="V168" s="3">
        <v>709</v>
      </c>
      <c r="W168" s="3">
        <v>0</v>
      </c>
      <c r="X168" s="3" t="s">
        <v>97</v>
      </c>
      <c r="Y168" s="3" t="s">
        <v>97</v>
      </c>
      <c r="Z168" s="4">
        <v>46247</v>
      </c>
      <c r="AA168" s="3" t="s">
        <v>155</v>
      </c>
      <c r="AB168" s="3" t="s">
        <v>469</v>
      </c>
      <c r="AC168" s="3"/>
      <c r="AD168" s="9" t="s">
        <v>633</v>
      </c>
    </row>
    <row r="169" spans="1:30" ht="15" customHeight="1" x14ac:dyDescent="0.3">
      <c r="A169" s="8">
        <f t="shared" si="2"/>
        <v>167</v>
      </c>
      <c r="B169" s="3" t="s">
        <v>21</v>
      </c>
      <c r="C169" s="3" t="s">
        <v>344</v>
      </c>
      <c r="D169" s="3" t="s">
        <v>132</v>
      </c>
      <c r="E169" s="3" t="s">
        <v>345</v>
      </c>
      <c r="F169" s="3">
        <v>1362</v>
      </c>
      <c r="G169" s="4">
        <v>46244</v>
      </c>
      <c r="H169" s="4"/>
      <c r="I169" s="3" t="s">
        <v>335</v>
      </c>
      <c r="J169" s="3" t="s">
        <v>28</v>
      </c>
      <c r="K169" s="3">
        <v>3</v>
      </c>
      <c r="L169" s="3">
        <v>60</v>
      </c>
      <c r="M169" s="3" t="s">
        <v>32</v>
      </c>
      <c r="N169" s="4">
        <v>46247</v>
      </c>
      <c r="O169" s="4">
        <v>46246</v>
      </c>
      <c r="P169" s="3" t="s">
        <v>219</v>
      </c>
      <c r="Q169" s="3" t="s">
        <v>29</v>
      </c>
      <c r="R169" s="3" t="s">
        <v>26</v>
      </c>
      <c r="S169" s="3"/>
      <c r="T169" s="3"/>
      <c r="U169" s="3" t="s">
        <v>155</v>
      </c>
      <c r="V169" s="3">
        <v>709</v>
      </c>
      <c r="W169" s="3">
        <v>0</v>
      </c>
      <c r="X169" s="3" t="s">
        <v>97</v>
      </c>
      <c r="Y169" s="3" t="s">
        <v>97</v>
      </c>
      <c r="Z169" s="4">
        <v>46247</v>
      </c>
      <c r="AA169" s="3" t="s">
        <v>155</v>
      </c>
      <c r="AB169" s="3" t="s">
        <v>469</v>
      </c>
      <c r="AC169" s="3"/>
      <c r="AD169" s="9" t="s">
        <v>633</v>
      </c>
    </row>
    <row r="170" spans="1:30" ht="15" customHeight="1" x14ac:dyDescent="0.3">
      <c r="A170" s="8">
        <f t="shared" si="2"/>
        <v>168</v>
      </c>
      <c r="B170" s="3" t="s">
        <v>21</v>
      </c>
      <c r="C170" s="3" t="s">
        <v>346</v>
      </c>
      <c r="D170" s="3" t="s">
        <v>132</v>
      </c>
      <c r="E170" s="3" t="s">
        <v>347</v>
      </c>
      <c r="F170" s="3">
        <v>1363</v>
      </c>
      <c r="G170" s="4">
        <v>46244</v>
      </c>
      <c r="H170" s="4"/>
      <c r="I170" s="3" t="s">
        <v>335</v>
      </c>
      <c r="J170" s="3" t="s">
        <v>28</v>
      </c>
      <c r="K170" s="3">
        <v>25</v>
      </c>
      <c r="L170" s="3">
        <v>500</v>
      </c>
      <c r="M170" s="3" t="s">
        <v>32</v>
      </c>
      <c r="N170" s="4">
        <v>46247</v>
      </c>
      <c r="O170" s="4">
        <v>46246</v>
      </c>
      <c r="P170" s="3" t="s">
        <v>219</v>
      </c>
      <c r="Q170" s="3" t="s">
        <v>29</v>
      </c>
      <c r="R170" s="3" t="s">
        <v>26</v>
      </c>
      <c r="S170" s="3"/>
      <c r="T170" s="3"/>
      <c r="U170" s="3" t="s">
        <v>155</v>
      </c>
      <c r="V170" s="3">
        <v>709</v>
      </c>
      <c r="W170" s="3">
        <v>0</v>
      </c>
      <c r="X170" s="3" t="s">
        <v>97</v>
      </c>
      <c r="Y170" s="3" t="s">
        <v>97</v>
      </c>
      <c r="Z170" s="4">
        <v>46247</v>
      </c>
      <c r="AA170" s="3" t="s">
        <v>155</v>
      </c>
      <c r="AB170" s="3" t="s">
        <v>469</v>
      </c>
      <c r="AC170" s="3"/>
      <c r="AD170" s="9" t="s">
        <v>633</v>
      </c>
    </row>
    <row r="171" spans="1:30" ht="15" customHeight="1" x14ac:dyDescent="0.3">
      <c r="A171" s="8">
        <f t="shared" si="2"/>
        <v>169</v>
      </c>
      <c r="B171" s="3" t="s">
        <v>21</v>
      </c>
      <c r="C171" s="3" t="s">
        <v>346</v>
      </c>
      <c r="D171" s="3" t="s">
        <v>132</v>
      </c>
      <c r="E171" s="3" t="s">
        <v>347</v>
      </c>
      <c r="F171" s="3">
        <v>1363</v>
      </c>
      <c r="G171" s="4">
        <v>46244</v>
      </c>
      <c r="H171" s="4"/>
      <c r="I171" s="3" t="s">
        <v>335</v>
      </c>
      <c r="J171" s="3" t="s">
        <v>28</v>
      </c>
      <c r="K171" s="3">
        <v>1</v>
      </c>
      <c r="L171" s="3">
        <v>20</v>
      </c>
      <c r="M171" s="3" t="s">
        <v>32</v>
      </c>
      <c r="N171" s="4">
        <v>46247</v>
      </c>
      <c r="O171" s="4">
        <v>46246</v>
      </c>
      <c r="P171" s="3" t="s">
        <v>219</v>
      </c>
      <c r="Q171" s="3" t="s">
        <v>29</v>
      </c>
      <c r="R171" s="3" t="s">
        <v>26</v>
      </c>
      <c r="S171" s="3"/>
      <c r="T171" s="3"/>
      <c r="U171" s="3" t="s">
        <v>155</v>
      </c>
      <c r="V171" s="3">
        <v>709</v>
      </c>
      <c r="W171" s="3">
        <v>0</v>
      </c>
      <c r="X171" s="3" t="s">
        <v>97</v>
      </c>
      <c r="Y171" s="3" t="s">
        <v>97</v>
      </c>
      <c r="Z171" s="4">
        <v>46247</v>
      </c>
      <c r="AA171" s="3" t="s">
        <v>155</v>
      </c>
      <c r="AB171" s="3" t="s">
        <v>469</v>
      </c>
      <c r="AC171" s="3"/>
      <c r="AD171" s="9" t="s">
        <v>633</v>
      </c>
    </row>
    <row r="172" spans="1:30" ht="15" customHeight="1" x14ac:dyDescent="0.3">
      <c r="A172" s="8">
        <f t="shared" si="2"/>
        <v>170</v>
      </c>
      <c r="B172" s="3" t="s">
        <v>21</v>
      </c>
      <c r="C172" s="3" t="s">
        <v>348</v>
      </c>
      <c r="D172" s="3" t="s">
        <v>132</v>
      </c>
      <c r="E172" s="3" t="s">
        <v>349</v>
      </c>
      <c r="F172" s="3">
        <v>1364</v>
      </c>
      <c r="G172" s="4">
        <v>46244</v>
      </c>
      <c r="H172" s="4"/>
      <c r="I172" s="3" t="s">
        <v>335</v>
      </c>
      <c r="J172" s="3" t="s">
        <v>28</v>
      </c>
      <c r="K172" s="3">
        <v>25</v>
      </c>
      <c r="L172" s="3">
        <v>500</v>
      </c>
      <c r="M172" s="3" t="s">
        <v>32</v>
      </c>
      <c r="N172" s="4">
        <v>46247</v>
      </c>
      <c r="O172" s="4">
        <v>46246</v>
      </c>
      <c r="P172" s="3" t="s">
        <v>219</v>
      </c>
      <c r="Q172" s="3" t="s">
        <v>29</v>
      </c>
      <c r="R172" s="3" t="s">
        <v>26</v>
      </c>
      <c r="S172" s="3"/>
      <c r="T172" s="3"/>
      <c r="U172" s="3" t="s">
        <v>155</v>
      </c>
      <c r="V172" s="3">
        <v>709</v>
      </c>
      <c r="W172" s="3">
        <v>0</v>
      </c>
      <c r="X172" s="3" t="s">
        <v>97</v>
      </c>
      <c r="Y172" s="3" t="s">
        <v>97</v>
      </c>
      <c r="Z172" s="4">
        <v>46247</v>
      </c>
      <c r="AA172" s="3" t="s">
        <v>155</v>
      </c>
      <c r="AB172" s="3" t="s">
        <v>469</v>
      </c>
      <c r="AC172" s="3"/>
      <c r="AD172" s="9" t="s">
        <v>633</v>
      </c>
    </row>
    <row r="173" spans="1:30" ht="15" customHeight="1" x14ac:dyDescent="0.3">
      <c r="A173" s="8">
        <f t="shared" si="2"/>
        <v>171</v>
      </c>
      <c r="B173" s="3" t="s">
        <v>21</v>
      </c>
      <c r="C173" s="3" t="s">
        <v>348</v>
      </c>
      <c r="D173" s="3" t="s">
        <v>132</v>
      </c>
      <c r="E173" s="3" t="s">
        <v>349</v>
      </c>
      <c r="F173" s="3">
        <v>1364</v>
      </c>
      <c r="G173" s="4">
        <v>46244</v>
      </c>
      <c r="H173" s="4"/>
      <c r="I173" s="3" t="s">
        <v>335</v>
      </c>
      <c r="J173" s="3" t="s">
        <v>28</v>
      </c>
      <c r="K173" s="3">
        <v>1</v>
      </c>
      <c r="L173" s="3">
        <v>20</v>
      </c>
      <c r="M173" s="3" t="s">
        <v>32</v>
      </c>
      <c r="N173" s="4">
        <v>46247</v>
      </c>
      <c r="O173" s="4">
        <v>46246</v>
      </c>
      <c r="P173" s="3" t="s">
        <v>219</v>
      </c>
      <c r="Q173" s="3" t="s">
        <v>29</v>
      </c>
      <c r="R173" s="3" t="s">
        <v>26</v>
      </c>
      <c r="S173" s="3"/>
      <c r="T173" s="3"/>
      <c r="U173" s="3" t="s">
        <v>155</v>
      </c>
      <c r="V173" s="3">
        <v>709</v>
      </c>
      <c r="W173" s="3">
        <v>0</v>
      </c>
      <c r="X173" s="3" t="s">
        <v>97</v>
      </c>
      <c r="Y173" s="3" t="s">
        <v>97</v>
      </c>
      <c r="Z173" s="4">
        <v>46247</v>
      </c>
      <c r="AA173" s="3" t="s">
        <v>155</v>
      </c>
      <c r="AB173" s="3" t="s">
        <v>469</v>
      </c>
      <c r="AC173" s="3"/>
      <c r="AD173" s="9" t="s">
        <v>633</v>
      </c>
    </row>
    <row r="174" spans="1:30" ht="15" customHeight="1" x14ac:dyDescent="0.3">
      <c r="A174" s="8">
        <f t="shared" si="2"/>
        <v>172</v>
      </c>
      <c r="B174" s="3" t="s">
        <v>21</v>
      </c>
      <c r="C174" s="3" t="s">
        <v>350</v>
      </c>
      <c r="D174" s="3" t="s">
        <v>132</v>
      </c>
      <c r="E174" s="3" t="s">
        <v>351</v>
      </c>
      <c r="F174" s="3">
        <v>1365</v>
      </c>
      <c r="G174" s="4">
        <v>46244</v>
      </c>
      <c r="H174" s="4"/>
      <c r="I174" s="3" t="s">
        <v>335</v>
      </c>
      <c r="J174" s="3" t="s">
        <v>28</v>
      </c>
      <c r="K174" s="3">
        <v>100</v>
      </c>
      <c r="L174" s="3">
        <v>2000</v>
      </c>
      <c r="M174" s="3" t="s">
        <v>32</v>
      </c>
      <c r="N174" s="4">
        <v>46247</v>
      </c>
      <c r="O174" s="4">
        <v>46246</v>
      </c>
      <c r="P174" s="3" t="s">
        <v>219</v>
      </c>
      <c r="Q174" s="3" t="s">
        <v>29</v>
      </c>
      <c r="R174" s="3" t="s">
        <v>26</v>
      </c>
      <c r="S174" s="3"/>
      <c r="T174" s="3"/>
      <c r="U174" s="3" t="s">
        <v>155</v>
      </c>
      <c r="V174" s="3">
        <v>709</v>
      </c>
      <c r="W174" s="3">
        <v>0</v>
      </c>
      <c r="X174" s="3" t="s">
        <v>97</v>
      </c>
      <c r="Y174" s="3" t="s">
        <v>97</v>
      </c>
      <c r="Z174" s="4">
        <v>46247</v>
      </c>
      <c r="AA174" s="3" t="s">
        <v>155</v>
      </c>
      <c r="AB174" s="3" t="s">
        <v>469</v>
      </c>
      <c r="AC174" s="3"/>
      <c r="AD174" s="9" t="s">
        <v>633</v>
      </c>
    </row>
    <row r="175" spans="1:30" ht="15" customHeight="1" x14ac:dyDescent="0.3">
      <c r="A175" s="8">
        <f t="shared" si="2"/>
        <v>173</v>
      </c>
      <c r="B175" s="3" t="s">
        <v>21</v>
      </c>
      <c r="C175" s="3" t="s">
        <v>350</v>
      </c>
      <c r="D175" s="3" t="s">
        <v>132</v>
      </c>
      <c r="E175" s="3" t="s">
        <v>351</v>
      </c>
      <c r="F175" s="3">
        <v>1365</v>
      </c>
      <c r="G175" s="4">
        <v>46244</v>
      </c>
      <c r="H175" s="4"/>
      <c r="I175" s="3" t="s">
        <v>335</v>
      </c>
      <c r="J175" s="3" t="s">
        <v>28</v>
      </c>
      <c r="K175" s="3">
        <v>8</v>
      </c>
      <c r="L175" s="3">
        <v>160</v>
      </c>
      <c r="M175" s="3" t="s">
        <v>32</v>
      </c>
      <c r="N175" s="4">
        <v>46247</v>
      </c>
      <c r="O175" s="4">
        <v>46246</v>
      </c>
      <c r="P175" s="3" t="s">
        <v>219</v>
      </c>
      <c r="Q175" s="3" t="s">
        <v>29</v>
      </c>
      <c r="R175" s="3" t="s">
        <v>26</v>
      </c>
      <c r="S175" s="3"/>
      <c r="T175" s="3"/>
      <c r="U175" s="3" t="s">
        <v>155</v>
      </c>
      <c r="V175" s="3">
        <v>709</v>
      </c>
      <c r="W175" s="3">
        <v>0</v>
      </c>
      <c r="X175" s="3" t="s">
        <v>97</v>
      </c>
      <c r="Y175" s="3" t="s">
        <v>97</v>
      </c>
      <c r="Z175" s="4">
        <v>46247</v>
      </c>
      <c r="AA175" s="3" t="s">
        <v>155</v>
      </c>
      <c r="AB175" s="3" t="s">
        <v>469</v>
      </c>
      <c r="AC175" s="3"/>
      <c r="AD175" s="9" t="s">
        <v>633</v>
      </c>
    </row>
    <row r="176" spans="1:30" ht="15" customHeight="1" x14ac:dyDescent="0.3">
      <c r="A176" s="8">
        <f t="shared" si="2"/>
        <v>174</v>
      </c>
      <c r="B176" s="3" t="s">
        <v>21</v>
      </c>
      <c r="C176" s="3" t="s">
        <v>352</v>
      </c>
      <c r="D176" s="3" t="s">
        <v>132</v>
      </c>
      <c r="E176" s="3" t="s">
        <v>353</v>
      </c>
      <c r="F176" s="3">
        <v>1366</v>
      </c>
      <c r="G176" s="4">
        <v>46244</v>
      </c>
      <c r="H176" s="4"/>
      <c r="I176" s="3" t="s">
        <v>335</v>
      </c>
      <c r="J176" s="3" t="s">
        <v>28</v>
      </c>
      <c r="K176" s="3">
        <v>25</v>
      </c>
      <c r="L176" s="3">
        <v>500</v>
      </c>
      <c r="M176" s="3" t="s">
        <v>32</v>
      </c>
      <c r="N176" s="4">
        <v>46247</v>
      </c>
      <c r="O176" s="4">
        <v>46246</v>
      </c>
      <c r="P176" s="3" t="s">
        <v>219</v>
      </c>
      <c r="Q176" s="3" t="s">
        <v>29</v>
      </c>
      <c r="R176" s="3" t="s">
        <v>26</v>
      </c>
      <c r="S176" s="3"/>
      <c r="T176" s="3"/>
      <c r="U176" s="3" t="s">
        <v>155</v>
      </c>
      <c r="V176" s="3">
        <v>709</v>
      </c>
      <c r="W176" s="3">
        <v>0</v>
      </c>
      <c r="X176" s="3" t="s">
        <v>97</v>
      </c>
      <c r="Y176" s="3" t="s">
        <v>97</v>
      </c>
      <c r="Z176" s="4">
        <v>46247</v>
      </c>
      <c r="AA176" s="3" t="s">
        <v>155</v>
      </c>
      <c r="AB176" s="3" t="s">
        <v>469</v>
      </c>
      <c r="AC176" s="3"/>
      <c r="AD176" s="9" t="s">
        <v>633</v>
      </c>
    </row>
    <row r="177" spans="1:30" ht="15" customHeight="1" x14ac:dyDescent="0.3">
      <c r="A177" s="8">
        <f t="shared" si="2"/>
        <v>175</v>
      </c>
      <c r="B177" s="3" t="s">
        <v>21</v>
      </c>
      <c r="C177" s="3" t="s">
        <v>352</v>
      </c>
      <c r="D177" s="3" t="s">
        <v>132</v>
      </c>
      <c r="E177" s="3" t="s">
        <v>353</v>
      </c>
      <c r="F177" s="3">
        <v>1366</v>
      </c>
      <c r="G177" s="4">
        <v>46244</v>
      </c>
      <c r="H177" s="4"/>
      <c r="I177" s="3" t="s">
        <v>335</v>
      </c>
      <c r="J177" s="3" t="s">
        <v>28</v>
      </c>
      <c r="K177" s="3">
        <v>1</v>
      </c>
      <c r="L177" s="3">
        <v>20</v>
      </c>
      <c r="M177" s="3" t="s">
        <v>32</v>
      </c>
      <c r="N177" s="4">
        <v>46247</v>
      </c>
      <c r="O177" s="4">
        <v>46246</v>
      </c>
      <c r="P177" s="3" t="s">
        <v>219</v>
      </c>
      <c r="Q177" s="3" t="s">
        <v>29</v>
      </c>
      <c r="R177" s="3" t="s">
        <v>26</v>
      </c>
      <c r="S177" s="3"/>
      <c r="T177" s="3"/>
      <c r="U177" s="3" t="s">
        <v>155</v>
      </c>
      <c r="V177" s="3">
        <v>709</v>
      </c>
      <c r="W177" s="3">
        <v>0</v>
      </c>
      <c r="X177" s="3" t="s">
        <v>97</v>
      </c>
      <c r="Y177" s="3" t="s">
        <v>97</v>
      </c>
      <c r="Z177" s="4">
        <v>46247</v>
      </c>
      <c r="AA177" s="3" t="s">
        <v>155</v>
      </c>
      <c r="AB177" s="3" t="s">
        <v>469</v>
      </c>
      <c r="AC177" s="3"/>
      <c r="AD177" s="9" t="s">
        <v>633</v>
      </c>
    </row>
    <row r="178" spans="1:30" ht="15" customHeight="1" x14ac:dyDescent="0.3">
      <c r="A178" s="8">
        <f t="shared" si="2"/>
        <v>176</v>
      </c>
      <c r="B178" s="3" t="s">
        <v>21</v>
      </c>
      <c r="C178" s="3" t="s">
        <v>354</v>
      </c>
      <c r="D178" s="3" t="s">
        <v>132</v>
      </c>
      <c r="E178" s="3" t="s">
        <v>355</v>
      </c>
      <c r="F178" s="3">
        <v>1367</v>
      </c>
      <c r="G178" s="4">
        <v>46244</v>
      </c>
      <c r="H178" s="4"/>
      <c r="I178" s="3" t="s">
        <v>335</v>
      </c>
      <c r="J178" s="3" t="s">
        <v>28</v>
      </c>
      <c r="K178" s="3">
        <v>25</v>
      </c>
      <c r="L178" s="3">
        <v>500</v>
      </c>
      <c r="M178" s="3" t="s">
        <v>32</v>
      </c>
      <c r="N178" s="4">
        <v>46247</v>
      </c>
      <c r="O178" s="4">
        <v>46246</v>
      </c>
      <c r="P178" s="3" t="s">
        <v>219</v>
      </c>
      <c r="Q178" s="3" t="s">
        <v>29</v>
      </c>
      <c r="R178" s="3" t="s">
        <v>26</v>
      </c>
      <c r="S178" s="3"/>
      <c r="T178" s="3"/>
      <c r="U178" s="3" t="s">
        <v>155</v>
      </c>
      <c r="V178" s="3">
        <v>709</v>
      </c>
      <c r="W178" s="3">
        <v>0</v>
      </c>
      <c r="X178" s="3" t="s">
        <v>97</v>
      </c>
      <c r="Y178" s="3" t="s">
        <v>97</v>
      </c>
      <c r="Z178" s="4">
        <v>46247</v>
      </c>
      <c r="AA178" s="3" t="s">
        <v>155</v>
      </c>
      <c r="AB178" s="3" t="s">
        <v>469</v>
      </c>
      <c r="AC178" s="3"/>
      <c r="AD178" s="9" t="s">
        <v>633</v>
      </c>
    </row>
    <row r="179" spans="1:30" ht="15" customHeight="1" x14ac:dyDescent="0.3">
      <c r="A179" s="8">
        <f t="shared" si="2"/>
        <v>177</v>
      </c>
      <c r="B179" s="3" t="s">
        <v>21</v>
      </c>
      <c r="C179" s="3" t="s">
        <v>354</v>
      </c>
      <c r="D179" s="3" t="s">
        <v>132</v>
      </c>
      <c r="E179" s="3" t="s">
        <v>355</v>
      </c>
      <c r="F179" s="3">
        <v>1367</v>
      </c>
      <c r="G179" s="4">
        <v>46244</v>
      </c>
      <c r="H179" s="4"/>
      <c r="I179" s="3" t="s">
        <v>335</v>
      </c>
      <c r="J179" s="3" t="s">
        <v>28</v>
      </c>
      <c r="K179" s="3">
        <v>1</v>
      </c>
      <c r="L179" s="3">
        <v>20</v>
      </c>
      <c r="M179" s="3" t="s">
        <v>32</v>
      </c>
      <c r="N179" s="4">
        <v>46247</v>
      </c>
      <c r="O179" s="4">
        <v>46246</v>
      </c>
      <c r="P179" s="3" t="s">
        <v>219</v>
      </c>
      <c r="Q179" s="3" t="s">
        <v>29</v>
      </c>
      <c r="R179" s="3" t="s">
        <v>26</v>
      </c>
      <c r="S179" s="3"/>
      <c r="T179" s="3"/>
      <c r="U179" s="3" t="s">
        <v>155</v>
      </c>
      <c r="V179" s="3">
        <v>709</v>
      </c>
      <c r="W179" s="3">
        <v>0</v>
      </c>
      <c r="X179" s="3" t="s">
        <v>97</v>
      </c>
      <c r="Y179" s="3" t="s">
        <v>97</v>
      </c>
      <c r="Z179" s="4">
        <v>46247</v>
      </c>
      <c r="AA179" s="3" t="s">
        <v>155</v>
      </c>
      <c r="AB179" s="3" t="s">
        <v>469</v>
      </c>
      <c r="AC179" s="3"/>
      <c r="AD179" s="9" t="s">
        <v>633</v>
      </c>
    </row>
    <row r="180" spans="1:30" ht="15" customHeight="1" x14ac:dyDescent="0.3">
      <c r="A180" s="8">
        <f t="shared" si="2"/>
        <v>178</v>
      </c>
      <c r="B180" s="3" t="s">
        <v>21</v>
      </c>
      <c r="C180" s="3" t="s">
        <v>356</v>
      </c>
      <c r="D180" s="3" t="s">
        <v>132</v>
      </c>
      <c r="E180" s="3" t="s">
        <v>357</v>
      </c>
      <c r="F180" s="3">
        <v>1368</v>
      </c>
      <c r="G180" s="4">
        <v>46244</v>
      </c>
      <c r="H180" s="4"/>
      <c r="I180" s="3" t="s">
        <v>335</v>
      </c>
      <c r="J180" s="3" t="s">
        <v>28</v>
      </c>
      <c r="K180" s="3">
        <v>25</v>
      </c>
      <c r="L180" s="3">
        <v>500</v>
      </c>
      <c r="M180" s="3" t="s">
        <v>32</v>
      </c>
      <c r="N180" s="4">
        <v>46247</v>
      </c>
      <c r="O180" s="4">
        <v>46246</v>
      </c>
      <c r="P180" s="3" t="s">
        <v>219</v>
      </c>
      <c r="Q180" s="3" t="s">
        <v>29</v>
      </c>
      <c r="R180" s="3" t="s">
        <v>26</v>
      </c>
      <c r="S180" s="3"/>
      <c r="T180" s="3"/>
      <c r="U180" s="3" t="s">
        <v>155</v>
      </c>
      <c r="V180" s="3">
        <v>709</v>
      </c>
      <c r="W180" s="3">
        <v>0</v>
      </c>
      <c r="X180" s="3" t="s">
        <v>97</v>
      </c>
      <c r="Y180" s="3" t="s">
        <v>97</v>
      </c>
      <c r="Z180" s="4">
        <v>46247</v>
      </c>
      <c r="AA180" s="3" t="s">
        <v>155</v>
      </c>
      <c r="AB180" s="3" t="s">
        <v>469</v>
      </c>
      <c r="AC180" s="3"/>
      <c r="AD180" s="9" t="s">
        <v>633</v>
      </c>
    </row>
    <row r="181" spans="1:30" ht="15" customHeight="1" x14ac:dyDescent="0.3">
      <c r="A181" s="8">
        <f t="shared" si="2"/>
        <v>179</v>
      </c>
      <c r="B181" s="3" t="s">
        <v>21</v>
      </c>
      <c r="C181" s="3" t="s">
        <v>356</v>
      </c>
      <c r="D181" s="3" t="s">
        <v>132</v>
      </c>
      <c r="E181" s="3" t="s">
        <v>357</v>
      </c>
      <c r="F181" s="3">
        <v>1368</v>
      </c>
      <c r="G181" s="4">
        <v>46244</v>
      </c>
      <c r="H181" s="4"/>
      <c r="I181" s="3" t="s">
        <v>335</v>
      </c>
      <c r="J181" s="3" t="s">
        <v>28</v>
      </c>
      <c r="K181" s="3">
        <v>1</v>
      </c>
      <c r="L181" s="3">
        <v>20</v>
      </c>
      <c r="M181" s="3" t="s">
        <v>32</v>
      </c>
      <c r="N181" s="4">
        <v>46247</v>
      </c>
      <c r="O181" s="4">
        <v>46246</v>
      </c>
      <c r="P181" s="3" t="s">
        <v>219</v>
      </c>
      <c r="Q181" s="3" t="s">
        <v>29</v>
      </c>
      <c r="R181" s="3" t="s">
        <v>26</v>
      </c>
      <c r="S181" s="3"/>
      <c r="T181" s="3"/>
      <c r="U181" s="3" t="s">
        <v>155</v>
      </c>
      <c r="V181" s="3">
        <v>709</v>
      </c>
      <c r="W181" s="3">
        <v>0</v>
      </c>
      <c r="X181" s="3" t="s">
        <v>97</v>
      </c>
      <c r="Y181" s="3" t="s">
        <v>97</v>
      </c>
      <c r="Z181" s="4">
        <v>46247</v>
      </c>
      <c r="AA181" s="3" t="s">
        <v>155</v>
      </c>
      <c r="AB181" s="3" t="s">
        <v>469</v>
      </c>
      <c r="AC181" s="3"/>
      <c r="AD181" s="9" t="s">
        <v>633</v>
      </c>
    </row>
    <row r="182" spans="1:30" ht="15" customHeight="1" x14ac:dyDescent="0.3">
      <c r="A182" s="8">
        <f t="shared" si="2"/>
        <v>180</v>
      </c>
      <c r="B182" s="3" t="s">
        <v>21</v>
      </c>
      <c r="C182" s="3" t="s">
        <v>358</v>
      </c>
      <c r="D182" s="3" t="s">
        <v>132</v>
      </c>
      <c r="E182" s="3" t="s">
        <v>359</v>
      </c>
      <c r="F182" s="3">
        <v>1370</v>
      </c>
      <c r="G182" s="4">
        <v>46244</v>
      </c>
      <c r="H182" s="4"/>
      <c r="I182" s="3" t="s">
        <v>335</v>
      </c>
      <c r="J182" s="3" t="s">
        <v>28</v>
      </c>
      <c r="K182" s="3">
        <v>25</v>
      </c>
      <c r="L182" s="3">
        <v>500</v>
      </c>
      <c r="M182" s="3" t="s">
        <v>32</v>
      </c>
      <c r="N182" s="4">
        <v>46247</v>
      </c>
      <c r="O182" s="4">
        <v>46246</v>
      </c>
      <c r="P182" s="3" t="s">
        <v>219</v>
      </c>
      <c r="Q182" s="3" t="s">
        <v>29</v>
      </c>
      <c r="R182" s="3" t="s">
        <v>26</v>
      </c>
      <c r="S182" s="3"/>
      <c r="T182" s="3"/>
      <c r="U182" s="3" t="s">
        <v>155</v>
      </c>
      <c r="V182" s="3">
        <v>709</v>
      </c>
      <c r="W182" s="3">
        <v>0</v>
      </c>
      <c r="X182" s="3" t="s">
        <v>97</v>
      </c>
      <c r="Y182" s="3" t="s">
        <v>97</v>
      </c>
      <c r="Z182" s="4">
        <v>46247</v>
      </c>
      <c r="AA182" s="3" t="s">
        <v>155</v>
      </c>
      <c r="AB182" s="3" t="s">
        <v>469</v>
      </c>
      <c r="AC182" s="3"/>
      <c r="AD182" s="9" t="s">
        <v>633</v>
      </c>
    </row>
    <row r="183" spans="1:30" ht="15" customHeight="1" x14ac:dyDescent="0.3">
      <c r="A183" s="8">
        <f t="shared" si="2"/>
        <v>181</v>
      </c>
      <c r="B183" s="3" t="s">
        <v>21</v>
      </c>
      <c r="C183" s="3" t="s">
        <v>358</v>
      </c>
      <c r="D183" s="3" t="s">
        <v>132</v>
      </c>
      <c r="E183" s="3" t="s">
        <v>359</v>
      </c>
      <c r="F183" s="3">
        <v>1370</v>
      </c>
      <c r="G183" s="4">
        <v>46244</v>
      </c>
      <c r="H183" s="4"/>
      <c r="I183" s="3" t="s">
        <v>335</v>
      </c>
      <c r="J183" s="3" t="s">
        <v>28</v>
      </c>
      <c r="K183" s="3">
        <v>1</v>
      </c>
      <c r="L183" s="3">
        <v>20</v>
      </c>
      <c r="M183" s="3" t="s">
        <v>32</v>
      </c>
      <c r="N183" s="4">
        <v>46247</v>
      </c>
      <c r="O183" s="4">
        <v>46246</v>
      </c>
      <c r="P183" s="3" t="s">
        <v>219</v>
      </c>
      <c r="Q183" s="3" t="s">
        <v>29</v>
      </c>
      <c r="R183" s="3" t="s">
        <v>26</v>
      </c>
      <c r="S183" s="3"/>
      <c r="T183" s="3"/>
      <c r="U183" s="3" t="s">
        <v>155</v>
      </c>
      <c r="V183" s="3">
        <v>709</v>
      </c>
      <c r="W183" s="3">
        <v>0</v>
      </c>
      <c r="X183" s="3" t="s">
        <v>97</v>
      </c>
      <c r="Y183" s="3" t="s">
        <v>97</v>
      </c>
      <c r="Z183" s="4">
        <v>46247</v>
      </c>
      <c r="AA183" s="3" t="s">
        <v>155</v>
      </c>
      <c r="AB183" s="3" t="s">
        <v>469</v>
      </c>
      <c r="AC183" s="3"/>
      <c r="AD183" s="9" t="s">
        <v>633</v>
      </c>
    </row>
    <row r="184" spans="1:30" ht="15" customHeight="1" x14ac:dyDescent="0.3">
      <c r="A184" s="8">
        <f t="shared" si="2"/>
        <v>182</v>
      </c>
      <c r="B184" s="3" t="s">
        <v>21</v>
      </c>
      <c r="C184" s="3" t="s">
        <v>98</v>
      </c>
      <c r="D184" s="3" t="s">
        <v>200</v>
      </c>
      <c r="E184" s="3" t="s">
        <v>360</v>
      </c>
      <c r="F184" s="3">
        <v>1393</v>
      </c>
      <c r="G184" s="4">
        <v>46241</v>
      </c>
      <c r="H184" s="4"/>
      <c r="I184" s="3" t="s">
        <v>31</v>
      </c>
      <c r="J184" s="3" t="s">
        <v>28</v>
      </c>
      <c r="K184" s="3">
        <v>6</v>
      </c>
      <c r="L184" s="3">
        <v>120</v>
      </c>
      <c r="M184" s="3" t="s">
        <v>32</v>
      </c>
      <c r="N184" s="4">
        <v>46255</v>
      </c>
      <c r="O184" s="4">
        <v>46254</v>
      </c>
      <c r="P184" s="3" t="s">
        <v>219</v>
      </c>
      <c r="Q184" s="3" t="s">
        <v>29</v>
      </c>
      <c r="R184" s="3" t="s">
        <v>26</v>
      </c>
      <c r="S184" s="3"/>
      <c r="T184" s="3"/>
      <c r="U184" s="3" t="s">
        <v>155</v>
      </c>
      <c r="V184" s="3">
        <v>709</v>
      </c>
      <c r="W184" s="3">
        <v>0</v>
      </c>
      <c r="X184" s="3" t="s">
        <v>97</v>
      </c>
      <c r="Y184" s="3" t="s">
        <v>97</v>
      </c>
      <c r="Z184" s="4">
        <v>46253</v>
      </c>
      <c r="AA184" s="3" t="s">
        <v>597</v>
      </c>
      <c r="AB184" s="3" t="s">
        <v>609</v>
      </c>
      <c r="AC184" s="3" t="s">
        <v>627</v>
      </c>
      <c r="AD184" s="9" t="s">
        <v>633</v>
      </c>
    </row>
    <row r="185" spans="1:30" ht="15" customHeight="1" x14ac:dyDescent="0.3">
      <c r="A185" s="8">
        <f t="shared" si="2"/>
        <v>183</v>
      </c>
      <c r="B185" s="3" t="s">
        <v>21</v>
      </c>
      <c r="C185" s="3" t="s">
        <v>361</v>
      </c>
      <c r="D185" s="3" t="s">
        <v>132</v>
      </c>
      <c r="E185" s="3" t="s">
        <v>362</v>
      </c>
      <c r="F185" s="3">
        <v>1369</v>
      </c>
      <c r="G185" s="4">
        <v>46245</v>
      </c>
      <c r="H185" s="4"/>
      <c r="I185" s="3" t="s">
        <v>335</v>
      </c>
      <c r="J185" s="3" t="s">
        <v>28</v>
      </c>
      <c r="K185" s="3">
        <v>50</v>
      </c>
      <c r="L185" s="3">
        <v>1000</v>
      </c>
      <c r="M185" s="3" t="s">
        <v>32</v>
      </c>
      <c r="N185" s="4">
        <v>46247</v>
      </c>
      <c r="O185" s="4">
        <v>46249</v>
      </c>
      <c r="P185" s="3" t="s">
        <v>219</v>
      </c>
      <c r="Q185" s="3" t="s">
        <v>29</v>
      </c>
      <c r="R185" s="3" t="s">
        <v>26</v>
      </c>
      <c r="S185" s="3"/>
      <c r="T185" s="3"/>
      <c r="U185" s="3" t="s">
        <v>363</v>
      </c>
      <c r="V185" s="3">
        <v>709</v>
      </c>
      <c r="W185" s="3">
        <v>0</v>
      </c>
      <c r="X185" s="3" t="s">
        <v>97</v>
      </c>
      <c r="Y185" s="3" t="s">
        <v>97</v>
      </c>
      <c r="Z185" s="4">
        <v>46249</v>
      </c>
      <c r="AA185" s="3" t="s">
        <v>363</v>
      </c>
      <c r="AB185" s="3" t="s">
        <v>472</v>
      </c>
      <c r="AC185" s="3" t="s">
        <v>628</v>
      </c>
      <c r="AD185" s="9" t="s">
        <v>633</v>
      </c>
    </row>
    <row r="186" spans="1:30" ht="15" customHeight="1" x14ac:dyDescent="0.3">
      <c r="A186" s="8">
        <f t="shared" si="2"/>
        <v>184</v>
      </c>
      <c r="B186" s="3" t="s">
        <v>21</v>
      </c>
      <c r="C186" s="3" t="s">
        <v>361</v>
      </c>
      <c r="D186" s="3" t="s">
        <v>132</v>
      </c>
      <c r="E186" s="3" t="s">
        <v>362</v>
      </c>
      <c r="F186" s="3">
        <v>1369</v>
      </c>
      <c r="G186" s="4">
        <v>46245</v>
      </c>
      <c r="H186" s="4"/>
      <c r="I186" s="3" t="s">
        <v>335</v>
      </c>
      <c r="J186" s="3" t="s">
        <v>28</v>
      </c>
      <c r="K186" s="3">
        <v>3</v>
      </c>
      <c r="L186" s="3">
        <v>60</v>
      </c>
      <c r="M186" s="3" t="s">
        <v>32</v>
      </c>
      <c r="N186" s="4">
        <v>46247</v>
      </c>
      <c r="O186" s="4">
        <v>46249</v>
      </c>
      <c r="P186" s="3" t="s">
        <v>219</v>
      </c>
      <c r="Q186" s="3" t="s">
        <v>29</v>
      </c>
      <c r="R186" s="3" t="s">
        <v>26</v>
      </c>
      <c r="S186" s="3"/>
      <c r="T186" s="3"/>
      <c r="U186" s="3" t="s">
        <v>363</v>
      </c>
      <c r="V186" s="3">
        <v>709</v>
      </c>
      <c r="W186" s="3">
        <v>0</v>
      </c>
      <c r="X186" s="3" t="s">
        <v>97</v>
      </c>
      <c r="Y186" s="3" t="s">
        <v>97</v>
      </c>
      <c r="Z186" s="4">
        <v>46249</v>
      </c>
      <c r="AA186" s="3" t="s">
        <v>363</v>
      </c>
      <c r="AB186" s="3" t="s">
        <v>472</v>
      </c>
      <c r="AC186" s="3" t="s">
        <v>628</v>
      </c>
      <c r="AD186" s="9" t="s">
        <v>633</v>
      </c>
    </row>
    <row r="187" spans="1:30" ht="15" customHeight="1" x14ac:dyDescent="0.3">
      <c r="A187" s="8">
        <f t="shared" si="2"/>
        <v>185</v>
      </c>
      <c r="B187" s="3" t="s">
        <v>21</v>
      </c>
      <c r="C187" s="3" t="s">
        <v>364</v>
      </c>
      <c r="D187" s="3" t="s">
        <v>132</v>
      </c>
      <c r="E187" s="3" t="s">
        <v>365</v>
      </c>
      <c r="F187" s="3">
        <v>1371</v>
      </c>
      <c r="G187" s="4">
        <v>46245</v>
      </c>
      <c r="H187" s="4"/>
      <c r="I187" s="3" t="s">
        <v>335</v>
      </c>
      <c r="J187" s="3" t="s">
        <v>28</v>
      </c>
      <c r="K187" s="3">
        <v>50</v>
      </c>
      <c r="L187" s="3">
        <v>1000</v>
      </c>
      <c r="M187" s="3" t="s">
        <v>32</v>
      </c>
      <c r="N187" s="4">
        <v>46247</v>
      </c>
      <c r="O187" s="4">
        <v>46249</v>
      </c>
      <c r="P187" s="3" t="s">
        <v>219</v>
      </c>
      <c r="Q187" s="3" t="s">
        <v>29</v>
      </c>
      <c r="R187" s="3" t="s">
        <v>26</v>
      </c>
      <c r="S187" s="3"/>
      <c r="T187" s="3"/>
      <c r="U187" s="3" t="s">
        <v>363</v>
      </c>
      <c r="V187" s="3">
        <v>709</v>
      </c>
      <c r="W187" s="3">
        <v>0</v>
      </c>
      <c r="X187" s="3" t="s">
        <v>97</v>
      </c>
      <c r="Y187" s="3" t="s">
        <v>97</v>
      </c>
      <c r="Z187" s="4">
        <v>46249</v>
      </c>
      <c r="AA187" s="3" t="s">
        <v>363</v>
      </c>
      <c r="AB187" s="3" t="s">
        <v>472</v>
      </c>
      <c r="AC187" s="3" t="s">
        <v>628</v>
      </c>
      <c r="AD187" s="9" t="s">
        <v>633</v>
      </c>
    </row>
    <row r="188" spans="1:30" ht="15" customHeight="1" x14ac:dyDescent="0.3">
      <c r="A188" s="8">
        <f t="shared" si="2"/>
        <v>186</v>
      </c>
      <c r="B188" s="3" t="s">
        <v>21</v>
      </c>
      <c r="C188" s="3" t="s">
        <v>364</v>
      </c>
      <c r="D188" s="3" t="s">
        <v>132</v>
      </c>
      <c r="E188" s="3" t="s">
        <v>365</v>
      </c>
      <c r="F188" s="3">
        <v>1371</v>
      </c>
      <c r="G188" s="4">
        <v>46245</v>
      </c>
      <c r="H188" s="4"/>
      <c r="I188" s="3" t="s">
        <v>335</v>
      </c>
      <c r="J188" s="3" t="s">
        <v>28</v>
      </c>
      <c r="K188" s="3">
        <v>3</v>
      </c>
      <c r="L188" s="3">
        <v>60</v>
      </c>
      <c r="M188" s="3" t="s">
        <v>32</v>
      </c>
      <c r="N188" s="4">
        <v>46247</v>
      </c>
      <c r="O188" s="4">
        <v>46249</v>
      </c>
      <c r="P188" s="3" t="s">
        <v>219</v>
      </c>
      <c r="Q188" s="3" t="s">
        <v>29</v>
      </c>
      <c r="R188" s="3" t="s">
        <v>26</v>
      </c>
      <c r="S188" s="3"/>
      <c r="T188" s="3"/>
      <c r="U188" s="3" t="s">
        <v>363</v>
      </c>
      <c r="V188" s="3">
        <v>709</v>
      </c>
      <c r="W188" s="3">
        <v>0</v>
      </c>
      <c r="X188" s="3" t="s">
        <v>97</v>
      </c>
      <c r="Y188" s="3" t="s">
        <v>97</v>
      </c>
      <c r="Z188" s="4">
        <v>46249</v>
      </c>
      <c r="AA188" s="3" t="s">
        <v>363</v>
      </c>
      <c r="AB188" s="3" t="s">
        <v>472</v>
      </c>
      <c r="AC188" s="3" t="s">
        <v>628</v>
      </c>
      <c r="AD188" s="9" t="s">
        <v>633</v>
      </c>
    </row>
    <row r="189" spans="1:30" ht="15" customHeight="1" x14ac:dyDescent="0.3">
      <c r="A189" s="8">
        <f t="shared" si="2"/>
        <v>187</v>
      </c>
      <c r="B189" s="3" t="s">
        <v>21</v>
      </c>
      <c r="C189" s="3" t="s">
        <v>366</v>
      </c>
      <c r="D189" s="3" t="s">
        <v>132</v>
      </c>
      <c r="E189" s="3" t="s">
        <v>367</v>
      </c>
      <c r="F189" s="3">
        <v>1372</v>
      </c>
      <c r="G189" s="4">
        <v>46245</v>
      </c>
      <c r="H189" s="4"/>
      <c r="I189" s="3" t="s">
        <v>335</v>
      </c>
      <c r="J189" s="3" t="s">
        <v>28</v>
      </c>
      <c r="K189" s="3">
        <v>25</v>
      </c>
      <c r="L189" s="3">
        <v>500</v>
      </c>
      <c r="M189" s="3" t="s">
        <v>32</v>
      </c>
      <c r="N189" s="4">
        <v>46247</v>
      </c>
      <c r="O189" s="4">
        <v>46249</v>
      </c>
      <c r="P189" s="3" t="s">
        <v>219</v>
      </c>
      <c r="Q189" s="3" t="s">
        <v>29</v>
      </c>
      <c r="R189" s="3" t="s">
        <v>26</v>
      </c>
      <c r="S189" s="3"/>
      <c r="T189" s="3"/>
      <c r="U189" s="3" t="s">
        <v>363</v>
      </c>
      <c r="V189" s="3">
        <v>709</v>
      </c>
      <c r="W189" s="3">
        <v>0</v>
      </c>
      <c r="X189" s="3" t="s">
        <v>97</v>
      </c>
      <c r="Y189" s="3" t="s">
        <v>97</v>
      </c>
      <c r="Z189" s="4">
        <v>46249</v>
      </c>
      <c r="AA189" s="3" t="s">
        <v>363</v>
      </c>
      <c r="AB189" s="3" t="s">
        <v>472</v>
      </c>
      <c r="AC189" s="3" t="s">
        <v>628</v>
      </c>
      <c r="AD189" s="9" t="s">
        <v>633</v>
      </c>
    </row>
    <row r="190" spans="1:30" ht="15" customHeight="1" x14ac:dyDescent="0.3">
      <c r="A190" s="8">
        <f t="shared" si="2"/>
        <v>188</v>
      </c>
      <c r="B190" s="3" t="s">
        <v>21</v>
      </c>
      <c r="C190" s="3" t="s">
        <v>366</v>
      </c>
      <c r="D190" s="3" t="s">
        <v>132</v>
      </c>
      <c r="E190" s="3" t="s">
        <v>367</v>
      </c>
      <c r="F190" s="3">
        <v>1372</v>
      </c>
      <c r="G190" s="4">
        <v>46245</v>
      </c>
      <c r="H190" s="4"/>
      <c r="I190" s="3" t="s">
        <v>335</v>
      </c>
      <c r="J190" s="3" t="s">
        <v>28</v>
      </c>
      <c r="K190" s="3">
        <v>1</v>
      </c>
      <c r="L190" s="3">
        <v>20</v>
      </c>
      <c r="M190" s="3" t="s">
        <v>32</v>
      </c>
      <c r="N190" s="4">
        <v>46247</v>
      </c>
      <c r="O190" s="4">
        <v>46249</v>
      </c>
      <c r="P190" s="3" t="s">
        <v>219</v>
      </c>
      <c r="Q190" s="3" t="s">
        <v>29</v>
      </c>
      <c r="R190" s="3" t="s">
        <v>26</v>
      </c>
      <c r="S190" s="3"/>
      <c r="T190" s="3"/>
      <c r="U190" s="3" t="s">
        <v>363</v>
      </c>
      <c r="V190" s="3">
        <v>709</v>
      </c>
      <c r="W190" s="3">
        <v>0</v>
      </c>
      <c r="X190" s="3" t="s">
        <v>97</v>
      </c>
      <c r="Y190" s="3" t="s">
        <v>97</v>
      </c>
      <c r="Z190" s="4">
        <v>46249</v>
      </c>
      <c r="AA190" s="3" t="s">
        <v>363</v>
      </c>
      <c r="AB190" s="3" t="s">
        <v>472</v>
      </c>
      <c r="AC190" s="3" t="s">
        <v>628</v>
      </c>
      <c r="AD190" s="9" t="s">
        <v>633</v>
      </c>
    </row>
    <row r="191" spans="1:30" ht="15" customHeight="1" x14ac:dyDescent="0.3">
      <c r="A191" s="8">
        <f t="shared" si="2"/>
        <v>189</v>
      </c>
      <c r="B191" s="3" t="s">
        <v>21</v>
      </c>
      <c r="C191" s="3" t="s">
        <v>368</v>
      </c>
      <c r="D191" s="3" t="s">
        <v>132</v>
      </c>
      <c r="E191" s="3" t="s">
        <v>372</v>
      </c>
      <c r="F191" s="3">
        <v>1373</v>
      </c>
      <c r="G191" s="4">
        <v>46245</v>
      </c>
      <c r="H191" s="4"/>
      <c r="I191" s="3" t="s">
        <v>335</v>
      </c>
      <c r="J191" s="3" t="s">
        <v>28</v>
      </c>
      <c r="K191" s="3">
        <v>25</v>
      </c>
      <c r="L191" s="3">
        <v>500</v>
      </c>
      <c r="M191" s="3" t="s">
        <v>32</v>
      </c>
      <c r="N191" s="4">
        <v>46247</v>
      </c>
      <c r="O191" s="4">
        <v>46249</v>
      </c>
      <c r="P191" s="3" t="s">
        <v>219</v>
      </c>
      <c r="Q191" s="3" t="s">
        <v>29</v>
      </c>
      <c r="R191" s="3" t="s">
        <v>26</v>
      </c>
      <c r="S191" s="3"/>
      <c r="T191" s="3"/>
      <c r="U191" s="3" t="s">
        <v>363</v>
      </c>
      <c r="V191" s="3">
        <v>709</v>
      </c>
      <c r="W191" s="3">
        <v>0</v>
      </c>
      <c r="X191" s="3" t="s">
        <v>97</v>
      </c>
      <c r="Y191" s="3" t="s">
        <v>97</v>
      </c>
      <c r="Z191" s="4">
        <v>46249</v>
      </c>
      <c r="AA191" s="3" t="s">
        <v>363</v>
      </c>
      <c r="AB191" s="3" t="s">
        <v>472</v>
      </c>
      <c r="AC191" s="3" t="s">
        <v>628</v>
      </c>
      <c r="AD191" s="9" t="s">
        <v>633</v>
      </c>
    </row>
    <row r="192" spans="1:30" ht="15" customHeight="1" x14ac:dyDescent="0.3">
      <c r="A192" s="8">
        <f t="shared" si="2"/>
        <v>190</v>
      </c>
      <c r="B192" s="3" t="s">
        <v>21</v>
      </c>
      <c r="C192" s="3" t="s">
        <v>368</v>
      </c>
      <c r="D192" s="3" t="s">
        <v>132</v>
      </c>
      <c r="E192" s="3" t="s">
        <v>372</v>
      </c>
      <c r="F192" s="3">
        <v>1373</v>
      </c>
      <c r="G192" s="4">
        <v>46245</v>
      </c>
      <c r="H192" s="4"/>
      <c r="I192" s="3" t="s">
        <v>335</v>
      </c>
      <c r="J192" s="3" t="s">
        <v>28</v>
      </c>
      <c r="K192" s="3">
        <v>1</v>
      </c>
      <c r="L192" s="3">
        <v>20</v>
      </c>
      <c r="M192" s="3" t="s">
        <v>32</v>
      </c>
      <c r="N192" s="4">
        <v>46247</v>
      </c>
      <c r="O192" s="4">
        <v>46249</v>
      </c>
      <c r="P192" s="3" t="s">
        <v>219</v>
      </c>
      <c r="Q192" s="3" t="s">
        <v>29</v>
      </c>
      <c r="R192" s="3" t="s">
        <v>26</v>
      </c>
      <c r="S192" s="3"/>
      <c r="T192" s="3"/>
      <c r="U192" s="3" t="s">
        <v>363</v>
      </c>
      <c r="V192" s="3">
        <v>709</v>
      </c>
      <c r="W192" s="3">
        <v>0</v>
      </c>
      <c r="X192" s="3" t="s">
        <v>97</v>
      </c>
      <c r="Y192" s="3" t="s">
        <v>97</v>
      </c>
      <c r="Z192" s="4">
        <v>46249</v>
      </c>
      <c r="AA192" s="3" t="s">
        <v>363</v>
      </c>
      <c r="AB192" s="3" t="s">
        <v>472</v>
      </c>
      <c r="AC192" s="3" t="s">
        <v>628</v>
      </c>
      <c r="AD192" s="9" t="s">
        <v>633</v>
      </c>
    </row>
    <row r="193" spans="1:30" ht="15" hidden="1" customHeight="1" x14ac:dyDescent="0.3">
      <c r="A193" s="8">
        <f t="shared" si="2"/>
        <v>191</v>
      </c>
      <c r="B193" s="3" t="s">
        <v>21</v>
      </c>
      <c r="C193" s="3" t="s">
        <v>369</v>
      </c>
      <c r="D193" s="3" t="s">
        <v>48</v>
      </c>
      <c r="E193" s="3" t="s">
        <v>373</v>
      </c>
      <c r="F193" s="3">
        <v>1374</v>
      </c>
      <c r="G193" s="4">
        <v>46245</v>
      </c>
      <c r="H193" s="4"/>
      <c r="I193" s="3" t="s">
        <v>336</v>
      </c>
      <c r="J193" s="3" t="s">
        <v>28</v>
      </c>
      <c r="K193" s="3">
        <v>25</v>
      </c>
      <c r="L193" s="3">
        <v>100</v>
      </c>
      <c r="M193" s="3" t="s">
        <v>32</v>
      </c>
      <c r="N193" s="4">
        <v>46259</v>
      </c>
      <c r="O193" s="4">
        <v>46259</v>
      </c>
      <c r="P193" s="3" t="s">
        <v>637</v>
      </c>
      <c r="Q193" s="3" t="s">
        <v>29</v>
      </c>
      <c r="R193" s="3" t="s">
        <v>26</v>
      </c>
      <c r="S193" s="3"/>
      <c r="T193" s="3"/>
      <c r="U193" s="3" t="s">
        <v>363</v>
      </c>
      <c r="V193" s="3">
        <v>709</v>
      </c>
      <c r="W193" s="3">
        <v>0</v>
      </c>
      <c r="X193" s="3" t="s">
        <v>637</v>
      </c>
      <c r="Y193" s="3" t="s">
        <v>637</v>
      </c>
      <c r="Z193" s="4">
        <v>46259</v>
      </c>
      <c r="AA193" s="3" t="s">
        <v>638</v>
      </c>
      <c r="AB193" s="3" t="s">
        <v>639</v>
      </c>
      <c r="AC193" s="3"/>
      <c r="AD193" s="9" t="s">
        <v>643</v>
      </c>
    </row>
    <row r="194" spans="1:30" ht="15" hidden="1" customHeight="1" x14ac:dyDescent="0.3">
      <c r="A194" s="8">
        <f t="shared" si="2"/>
        <v>192</v>
      </c>
      <c r="B194" s="3" t="s">
        <v>21</v>
      </c>
      <c r="C194" s="3" t="s">
        <v>369</v>
      </c>
      <c r="D194" s="3" t="s">
        <v>48</v>
      </c>
      <c r="E194" s="3" t="s">
        <v>373</v>
      </c>
      <c r="F194" s="3">
        <v>1374</v>
      </c>
      <c r="G194" s="4">
        <v>46245</v>
      </c>
      <c r="H194" s="4"/>
      <c r="I194" s="3" t="s">
        <v>336</v>
      </c>
      <c r="J194" s="3" t="s">
        <v>28</v>
      </c>
      <c r="K194" s="3">
        <v>3</v>
      </c>
      <c r="L194" s="3">
        <v>12</v>
      </c>
      <c r="M194" s="3" t="s">
        <v>32</v>
      </c>
      <c r="N194" s="4">
        <v>46259</v>
      </c>
      <c r="O194" s="4">
        <v>46259</v>
      </c>
      <c r="P194" s="3" t="s">
        <v>637</v>
      </c>
      <c r="Q194" s="3" t="s">
        <v>29</v>
      </c>
      <c r="R194" s="3" t="s">
        <v>26</v>
      </c>
      <c r="S194" s="3"/>
      <c r="T194" s="3"/>
      <c r="U194" s="3" t="s">
        <v>363</v>
      </c>
      <c r="V194" s="3">
        <v>709</v>
      </c>
      <c r="W194" s="3">
        <v>0</v>
      </c>
      <c r="X194" s="3" t="s">
        <v>637</v>
      </c>
      <c r="Y194" s="3" t="s">
        <v>637</v>
      </c>
      <c r="Z194" s="4">
        <v>46259</v>
      </c>
      <c r="AA194" s="3" t="s">
        <v>638</v>
      </c>
      <c r="AB194" s="3" t="s">
        <v>639</v>
      </c>
      <c r="AC194" s="3"/>
      <c r="AD194" s="9" t="s">
        <v>643</v>
      </c>
    </row>
    <row r="195" spans="1:30" ht="15" customHeight="1" x14ac:dyDescent="0.3">
      <c r="A195" s="8">
        <f t="shared" si="2"/>
        <v>193</v>
      </c>
      <c r="B195" s="3" t="s">
        <v>21</v>
      </c>
      <c r="C195" s="3" t="s">
        <v>370</v>
      </c>
      <c r="D195" s="3" t="s">
        <v>48</v>
      </c>
      <c r="E195" s="3" t="s">
        <v>374</v>
      </c>
      <c r="F195" s="3">
        <v>1375</v>
      </c>
      <c r="G195" s="4">
        <v>46245</v>
      </c>
      <c r="H195" s="4"/>
      <c r="I195" s="3" t="s">
        <v>335</v>
      </c>
      <c r="J195" s="3" t="s">
        <v>28</v>
      </c>
      <c r="K195" s="3">
        <v>50</v>
      </c>
      <c r="L195" s="3">
        <v>1000</v>
      </c>
      <c r="M195" s="3" t="s">
        <v>32</v>
      </c>
      <c r="N195" s="4">
        <v>46247</v>
      </c>
      <c r="O195" s="4">
        <v>46249</v>
      </c>
      <c r="P195" s="3" t="s">
        <v>219</v>
      </c>
      <c r="Q195" s="3" t="s">
        <v>29</v>
      </c>
      <c r="R195" s="3" t="s">
        <v>26</v>
      </c>
      <c r="S195" s="3"/>
      <c r="T195" s="3"/>
      <c r="U195" s="3" t="s">
        <v>363</v>
      </c>
      <c r="V195" s="3">
        <v>709</v>
      </c>
      <c r="W195" s="3">
        <v>0</v>
      </c>
      <c r="X195" s="3" t="s">
        <v>97</v>
      </c>
      <c r="Y195" s="3" t="s">
        <v>97</v>
      </c>
      <c r="Z195" s="4">
        <v>46249</v>
      </c>
      <c r="AA195" s="3" t="s">
        <v>363</v>
      </c>
      <c r="AB195" s="3" t="s">
        <v>472</v>
      </c>
      <c r="AC195" s="3" t="s">
        <v>628</v>
      </c>
      <c r="AD195" s="9" t="s">
        <v>633</v>
      </c>
    </row>
    <row r="196" spans="1:30" ht="15" customHeight="1" x14ac:dyDescent="0.3">
      <c r="A196" s="8">
        <f t="shared" si="2"/>
        <v>194</v>
      </c>
      <c r="B196" s="3" t="s">
        <v>21</v>
      </c>
      <c r="C196" s="3" t="s">
        <v>370</v>
      </c>
      <c r="D196" s="3" t="s">
        <v>48</v>
      </c>
      <c r="E196" s="3" t="s">
        <v>374</v>
      </c>
      <c r="F196" s="3">
        <v>1375</v>
      </c>
      <c r="G196" s="4">
        <v>46245</v>
      </c>
      <c r="H196" s="4"/>
      <c r="I196" s="3" t="s">
        <v>335</v>
      </c>
      <c r="J196" s="3" t="s">
        <v>28</v>
      </c>
      <c r="K196" s="3">
        <v>3</v>
      </c>
      <c r="L196" s="3">
        <v>60</v>
      </c>
      <c r="M196" s="3" t="s">
        <v>32</v>
      </c>
      <c r="N196" s="4">
        <v>46247</v>
      </c>
      <c r="O196" s="4">
        <v>46249</v>
      </c>
      <c r="P196" s="3" t="s">
        <v>219</v>
      </c>
      <c r="Q196" s="3" t="s">
        <v>29</v>
      </c>
      <c r="R196" s="3" t="s">
        <v>26</v>
      </c>
      <c r="S196" s="3"/>
      <c r="T196" s="3"/>
      <c r="U196" s="3" t="s">
        <v>363</v>
      </c>
      <c r="V196" s="3">
        <v>709</v>
      </c>
      <c r="W196" s="3">
        <v>0</v>
      </c>
      <c r="X196" s="3" t="s">
        <v>97</v>
      </c>
      <c r="Y196" s="3" t="s">
        <v>97</v>
      </c>
      <c r="Z196" s="4">
        <v>46249</v>
      </c>
      <c r="AA196" s="3" t="s">
        <v>363</v>
      </c>
      <c r="AB196" s="3" t="s">
        <v>472</v>
      </c>
      <c r="AC196" s="3" t="s">
        <v>628</v>
      </c>
      <c r="AD196" s="9" t="s">
        <v>633</v>
      </c>
    </row>
    <row r="197" spans="1:30" ht="15" customHeight="1" x14ac:dyDescent="0.3">
      <c r="A197" s="8">
        <f t="shared" ref="A197:A260" si="3">A196+1</f>
        <v>195</v>
      </c>
      <c r="B197" s="3" t="s">
        <v>21</v>
      </c>
      <c r="C197" s="3" t="s">
        <v>371</v>
      </c>
      <c r="D197" s="3" t="s">
        <v>48</v>
      </c>
      <c r="E197" s="3" t="s">
        <v>375</v>
      </c>
      <c r="F197" s="3">
        <v>1376</v>
      </c>
      <c r="G197" s="4">
        <v>46245</v>
      </c>
      <c r="H197" s="4"/>
      <c r="I197" s="3" t="s">
        <v>335</v>
      </c>
      <c r="J197" s="3" t="s">
        <v>28</v>
      </c>
      <c r="K197" s="3">
        <v>25</v>
      </c>
      <c r="L197" s="3">
        <v>500</v>
      </c>
      <c r="M197" s="3" t="s">
        <v>32</v>
      </c>
      <c r="N197" s="4">
        <v>46247</v>
      </c>
      <c r="O197" s="4">
        <v>46249</v>
      </c>
      <c r="P197" s="3" t="s">
        <v>219</v>
      </c>
      <c r="Q197" s="3" t="s">
        <v>29</v>
      </c>
      <c r="R197" s="3" t="s">
        <v>26</v>
      </c>
      <c r="S197" s="3"/>
      <c r="T197" s="3"/>
      <c r="U197" s="3" t="s">
        <v>363</v>
      </c>
      <c r="V197" s="3">
        <v>709</v>
      </c>
      <c r="W197" s="3">
        <v>0</v>
      </c>
      <c r="X197" s="3" t="s">
        <v>97</v>
      </c>
      <c r="Y197" s="3" t="s">
        <v>97</v>
      </c>
      <c r="Z197" s="4">
        <v>46249</v>
      </c>
      <c r="AA197" s="3" t="s">
        <v>363</v>
      </c>
      <c r="AB197" s="3" t="s">
        <v>472</v>
      </c>
      <c r="AC197" s="3" t="s">
        <v>628</v>
      </c>
      <c r="AD197" s="9" t="s">
        <v>633</v>
      </c>
    </row>
    <row r="198" spans="1:30" ht="15" customHeight="1" x14ac:dyDescent="0.3">
      <c r="A198" s="8">
        <f t="shared" si="3"/>
        <v>196</v>
      </c>
      <c r="B198" s="3" t="s">
        <v>21</v>
      </c>
      <c r="C198" s="3" t="s">
        <v>371</v>
      </c>
      <c r="D198" s="3" t="s">
        <v>48</v>
      </c>
      <c r="E198" s="3" t="s">
        <v>375</v>
      </c>
      <c r="F198" s="3">
        <v>1376</v>
      </c>
      <c r="G198" s="4">
        <v>46245</v>
      </c>
      <c r="H198" s="4"/>
      <c r="I198" s="3" t="s">
        <v>335</v>
      </c>
      <c r="J198" s="3" t="s">
        <v>28</v>
      </c>
      <c r="K198" s="3">
        <v>1</v>
      </c>
      <c r="L198" s="3">
        <v>1</v>
      </c>
      <c r="M198" s="3" t="s">
        <v>32</v>
      </c>
      <c r="N198" s="4">
        <v>46247</v>
      </c>
      <c r="O198" s="4">
        <v>46249</v>
      </c>
      <c r="P198" s="3" t="s">
        <v>219</v>
      </c>
      <c r="Q198" s="3" t="s">
        <v>29</v>
      </c>
      <c r="R198" s="3" t="s">
        <v>26</v>
      </c>
      <c r="S198" s="3"/>
      <c r="T198" s="3"/>
      <c r="U198" s="3" t="s">
        <v>363</v>
      </c>
      <c r="V198" s="3">
        <v>709</v>
      </c>
      <c r="W198" s="3">
        <v>0</v>
      </c>
      <c r="X198" s="3" t="s">
        <v>97</v>
      </c>
      <c r="Y198" s="3" t="s">
        <v>97</v>
      </c>
      <c r="Z198" s="4">
        <v>46249</v>
      </c>
      <c r="AA198" s="3" t="s">
        <v>363</v>
      </c>
      <c r="AB198" s="3" t="s">
        <v>472</v>
      </c>
      <c r="AC198" s="3" t="s">
        <v>628</v>
      </c>
      <c r="AD198" s="9" t="s">
        <v>633</v>
      </c>
    </row>
    <row r="199" spans="1:30" ht="15" customHeight="1" x14ac:dyDescent="0.3">
      <c r="A199" s="8">
        <f t="shared" si="3"/>
        <v>197</v>
      </c>
      <c r="B199" s="3" t="s">
        <v>21</v>
      </c>
      <c r="C199" s="3" t="s">
        <v>376</v>
      </c>
      <c r="D199" s="3" t="s">
        <v>48</v>
      </c>
      <c r="E199" s="3" t="s">
        <v>377</v>
      </c>
      <c r="F199" s="3">
        <v>1377</v>
      </c>
      <c r="G199" s="4">
        <v>46245</v>
      </c>
      <c r="H199" s="4"/>
      <c r="I199" s="3" t="s">
        <v>335</v>
      </c>
      <c r="J199" s="3" t="s">
        <v>28</v>
      </c>
      <c r="K199" s="3">
        <v>25</v>
      </c>
      <c r="L199" s="3">
        <v>500</v>
      </c>
      <c r="M199" s="3" t="s">
        <v>32</v>
      </c>
      <c r="N199" s="4">
        <v>46247</v>
      </c>
      <c r="O199" s="4">
        <v>46249</v>
      </c>
      <c r="P199" s="3" t="s">
        <v>219</v>
      </c>
      <c r="Q199" s="3" t="s">
        <v>29</v>
      </c>
      <c r="R199" s="3" t="s">
        <v>26</v>
      </c>
      <c r="S199" s="3"/>
      <c r="T199" s="3"/>
      <c r="U199" s="3" t="s">
        <v>363</v>
      </c>
      <c r="V199" s="3">
        <v>709</v>
      </c>
      <c r="W199" s="3">
        <v>0</v>
      </c>
      <c r="X199" s="3" t="s">
        <v>97</v>
      </c>
      <c r="Y199" s="3" t="s">
        <v>97</v>
      </c>
      <c r="Z199" s="4">
        <v>46249</v>
      </c>
      <c r="AA199" s="3" t="s">
        <v>363</v>
      </c>
      <c r="AB199" s="3" t="s">
        <v>472</v>
      </c>
      <c r="AC199" s="3" t="s">
        <v>628</v>
      </c>
      <c r="AD199" s="9" t="s">
        <v>633</v>
      </c>
    </row>
    <row r="200" spans="1:30" ht="15" customHeight="1" x14ac:dyDescent="0.3">
      <c r="A200" s="8">
        <f t="shared" si="3"/>
        <v>198</v>
      </c>
      <c r="B200" s="3" t="s">
        <v>21</v>
      </c>
      <c r="C200" s="3" t="s">
        <v>376</v>
      </c>
      <c r="D200" s="3" t="s">
        <v>48</v>
      </c>
      <c r="E200" s="3" t="s">
        <v>377</v>
      </c>
      <c r="F200" s="3">
        <v>1377</v>
      </c>
      <c r="G200" s="4">
        <v>46245</v>
      </c>
      <c r="H200" s="4"/>
      <c r="I200" s="3" t="s">
        <v>335</v>
      </c>
      <c r="J200" s="3" t="s">
        <v>28</v>
      </c>
      <c r="K200" s="3">
        <v>1</v>
      </c>
      <c r="L200" s="3">
        <v>1</v>
      </c>
      <c r="M200" s="3" t="s">
        <v>32</v>
      </c>
      <c r="N200" s="4">
        <v>46247</v>
      </c>
      <c r="O200" s="4">
        <v>46249</v>
      </c>
      <c r="P200" s="3" t="s">
        <v>219</v>
      </c>
      <c r="Q200" s="3" t="s">
        <v>29</v>
      </c>
      <c r="R200" s="3" t="s">
        <v>26</v>
      </c>
      <c r="S200" s="3"/>
      <c r="T200" s="3"/>
      <c r="U200" s="3" t="s">
        <v>363</v>
      </c>
      <c r="V200" s="3">
        <v>709</v>
      </c>
      <c r="W200" s="3">
        <v>0</v>
      </c>
      <c r="X200" s="3" t="s">
        <v>97</v>
      </c>
      <c r="Y200" s="3" t="s">
        <v>97</v>
      </c>
      <c r="Z200" s="4">
        <v>46249</v>
      </c>
      <c r="AA200" s="3" t="s">
        <v>363</v>
      </c>
      <c r="AB200" s="3" t="s">
        <v>472</v>
      </c>
      <c r="AC200" s="3" t="s">
        <v>628</v>
      </c>
      <c r="AD200" s="9" t="s">
        <v>633</v>
      </c>
    </row>
    <row r="201" spans="1:30" ht="15" customHeight="1" x14ac:dyDescent="0.3">
      <c r="A201" s="8">
        <f t="shared" si="3"/>
        <v>199</v>
      </c>
      <c r="B201" s="3" t="s">
        <v>21</v>
      </c>
      <c r="C201" s="3" t="s">
        <v>378</v>
      </c>
      <c r="D201" s="3" t="s">
        <v>48</v>
      </c>
      <c r="E201" s="3" t="s">
        <v>379</v>
      </c>
      <c r="F201" s="3">
        <v>1378</v>
      </c>
      <c r="G201" s="4">
        <v>46245</v>
      </c>
      <c r="H201" s="4"/>
      <c r="I201" s="3" t="s">
        <v>335</v>
      </c>
      <c r="J201" s="3" t="s">
        <v>28</v>
      </c>
      <c r="K201" s="3">
        <v>25</v>
      </c>
      <c r="L201" s="3">
        <v>500</v>
      </c>
      <c r="M201" s="3" t="s">
        <v>32</v>
      </c>
      <c r="N201" s="4">
        <v>46247</v>
      </c>
      <c r="O201" s="4">
        <v>46249</v>
      </c>
      <c r="P201" s="3" t="s">
        <v>219</v>
      </c>
      <c r="Q201" s="3" t="s">
        <v>29</v>
      </c>
      <c r="R201" s="3" t="s">
        <v>26</v>
      </c>
      <c r="S201" s="3"/>
      <c r="T201" s="3"/>
      <c r="U201" s="3" t="s">
        <v>363</v>
      </c>
      <c r="V201" s="3">
        <v>709</v>
      </c>
      <c r="W201" s="3">
        <v>0</v>
      </c>
      <c r="X201" s="3" t="s">
        <v>97</v>
      </c>
      <c r="Y201" s="3" t="s">
        <v>97</v>
      </c>
      <c r="Z201" s="4">
        <v>46249</v>
      </c>
      <c r="AA201" s="3" t="s">
        <v>363</v>
      </c>
      <c r="AB201" s="3" t="s">
        <v>472</v>
      </c>
      <c r="AC201" s="3" t="s">
        <v>628</v>
      </c>
      <c r="AD201" s="9" t="s">
        <v>633</v>
      </c>
    </row>
    <row r="202" spans="1:30" ht="15" customHeight="1" x14ac:dyDescent="0.3">
      <c r="A202" s="8">
        <f t="shared" si="3"/>
        <v>200</v>
      </c>
      <c r="B202" s="3" t="s">
        <v>21</v>
      </c>
      <c r="C202" s="3" t="s">
        <v>378</v>
      </c>
      <c r="D202" s="3" t="s">
        <v>48</v>
      </c>
      <c r="E202" s="3" t="s">
        <v>379</v>
      </c>
      <c r="F202" s="3">
        <v>1378</v>
      </c>
      <c r="G202" s="4">
        <v>46245</v>
      </c>
      <c r="H202" s="4"/>
      <c r="I202" s="3" t="s">
        <v>335</v>
      </c>
      <c r="J202" s="3" t="s">
        <v>28</v>
      </c>
      <c r="K202" s="3">
        <v>1</v>
      </c>
      <c r="L202" s="3">
        <v>1</v>
      </c>
      <c r="M202" s="3" t="s">
        <v>32</v>
      </c>
      <c r="N202" s="4">
        <v>46247</v>
      </c>
      <c r="O202" s="4">
        <v>46249</v>
      </c>
      <c r="P202" s="3" t="s">
        <v>219</v>
      </c>
      <c r="Q202" s="3" t="s">
        <v>29</v>
      </c>
      <c r="R202" s="3" t="s">
        <v>26</v>
      </c>
      <c r="S202" s="3"/>
      <c r="T202" s="3"/>
      <c r="U202" s="3" t="s">
        <v>363</v>
      </c>
      <c r="V202" s="3">
        <v>709</v>
      </c>
      <c r="W202" s="3">
        <v>0</v>
      </c>
      <c r="X202" s="3" t="s">
        <v>97</v>
      </c>
      <c r="Y202" s="3" t="s">
        <v>97</v>
      </c>
      <c r="Z202" s="4">
        <v>46249</v>
      </c>
      <c r="AA202" s="3" t="s">
        <v>363</v>
      </c>
      <c r="AB202" s="3" t="s">
        <v>472</v>
      </c>
      <c r="AC202" s="3" t="s">
        <v>628</v>
      </c>
      <c r="AD202" s="9" t="s">
        <v>633</v>
      </c>
    </row>
    <row r="203" spans="1:30" ht="15" customHeight="1" x14ac:dyDescent="0.3">
      <c r="A203" s="8">
        <f t="shared" si="3"/>
        <v>201</v>
      </c>
      <c r="B203" s="3" t="s">
        <v>21</v>
      </c>
      <c r="C203" s="3" t="s">
        <v>380</v>
      </c>
      <c r="D203" s="3" t="s">
        <v>48</v>
      </c>
      <c r="E203" s="3" t="s">
        <v>381</v>
      </c>
      <c r="F203" s="3">
        <v>1379</v>
      </c>
      <c r="G203" s="4">
        <v>46245</v>
      </c>
      <c r="H203" s="4"/>
      <c r="I203" s="3" t="s">
        <v>335</v>
      </c>
      <c r="J203" s="3" t="s">
        <v>28</v>
      </c>
      <c r="K203" s="3">
        <v>50</v>
      </c>
      <c r="L203" s="3">
        <v>1000</v>
      </c>
      <c r="M203" s="3" t="s">
        <v>32</v>
      </c>
      <c r="N203" s="4">
        <v>46247</v>
      </c>
      <c r="O203" s="4">
        <v>46249</v>
      </c>
      <c r="P203" s="3" t="s">
        <v>219</v>
      </c>
      <c r="Q203" s="3" t="s">
        <v>29</v>
      </c>
      <c r="R203" s="3" t="s">
        <v>26</v>
      </c>
      <c r="S203" s="3"/>
      <c r="T203" s="3"/>
      <c r="U203" s="3" t="s">
        <v>363</v>
      </c>
      <c r="V203" s="3">
        <v>709</v>
      </c>
      <c r="W203" s="3">
        <v>0</v>
      </c>
      <c r="X203" s="3" t="s">
        <v>97</v>
      </c>
      <c r="Y203" s="3" t="s">
        <v>97</v>
      </c>
      <c r="Z203" s="4">
        <v>46249</v>
      </c>
      <c r="AA203" s="3" t="s">
        <v>363</v>
      </c>
      <c r="AB203" s="3" t="s">
        <v>472</v>
      </c>
      <c r="AC203" s="3" t="s">
        <v>628</v>
      </c>
      <c r="AD203" s="9" t="s">
        <v>633</v>
      </c>
    </row>
    <row r="204" spans="1:30" ht="15" customHeight="1" x14ac:dyDescent="0.3">
      <c r="A204" s="8">
        <f t="shared" si="3"/>
        <v>202</v>
      </c>
      <c r="B204" s="3" t="s">
        <v>21</v>
      </c>
      <c r="C204" s="3" t="s">
        <v>380</v>
      </c>
      <c r="D204" s="3" t="s">
        <v>48</v>
      </c>
      <c r="E204" s="3" t="s">
        <v>381</v>
      </c>
      <c r="F204" s="3">
        <v>1379</v>
      </c>
      <c r="G204" s="4">
        <v>46245</v>
      </c>
      <c r="H204" s="4"/>
      <c r="I204" s="3" t="s">
        <v>335</v>
      </c>
      <c r="J204" s="3" t="s">
        <v>28</v>
      </c>
      <c r="K204" s="3">
        <v>3</v>
      </c>
      <c r="L204" s="3">
        <v>60</v>
      </c>
      <c r="M204" s="3" t="s">
        <v>32</v>
      </c>
      <c r="N204" s="4">
        <v>46247</v>
      </c>
      <c r="O204" s="4">
        <v>46249</v>
      </c>
      <c r="P204" s="3" t="s">
        <v>219</v>
      </c>
      <c r="Q204" s="3" t="s">
        <v>29</v>
      </c>
      <c r="R204" s="3" t="s">
        <v>26</v>
      </c>
      <c r="S204" s="3"/>
      <c r="T204" s="3"/>
      <c r="U204" s="3" t="s">
        <v>363</v>
      </c>
      <c r="V204" s="3">
        <v>709</v>
      </c>
      <c r="W204" s="3">
        <v>0</v>
      </c>
      <c r="X204" s="3" t="s">
        <v>97</v>
      </c>
      <c r="Y204" s="3" t="s">
        <v>97</v>
      </c>
      <c r="Z204" s="4">
        <v>46249</v>
      </c>
      <c r="AA204" s="3" t="s">
        <v>363</v>
      </c>
      <c r="AB204" s="3" t="s">
        <v>472</v>
      </c>
      <c r="AC204" s="3" t="s">
        <v>628</v>
      </c>
      <c r="AD204" s="9" t="s">
        <v>633</v>
      </c>
    </row>
    <row r="205" spans="1:30" ht="15" customHeight="1" x14ac:dyDescent="0.3">
      <c r="A205" s="8">
        <f t="shared" si="3"/>
        <v>203</v>
      </c>
      <c r="B205" s="3" t="s">
        <v>21</v>
      </c>
      <c r="C205" s="3" t="s">
        <v>382</v>
      </c>
      <c r="D205" s="3" t="s">
        <v>48</v>
      </c>
      <c r="E205" s="3" t="s">
        <v>383</v>
      </c>
      <c r="F205" s="3">
        <v>1380</v>
      </c>
      <c r="G205" s="4">
        <v>46245</v>
      </c>
      <c r="H205" s="4"/>
      <c r="I205" s="3" t="s">
        <v>335</v>
      </c>
      <c r="J205" s="3" t="s">
        <v>28</v>
      </c>
      <c r="K205" s="3">
        <v>25</v>
      </c>
      <c r="L205" s="3">
        <v>500</v>
      </c>
      <c r="M205" s="3" t="s">
        <v>32</v>
      </c>
      <c r="N205" s="4">
        <v>46247</v>
      </c>
      <c r="O205" s="4">
        <v>46249</v>
      </c>
      <c r="P205" s="3" t="s">
        <v>219</v>
      </c>
      <c r="Q205" s="3" t="s">
        <v>29</v>
      </c>
      <c r="R205" s="3" t="s">
        <v>26</v>
      </c>
      <c r="S205" s="3"/>
      <c r="T205" s="3"/>
      <c r="U205" s="3" t="s">
        <v>363</v>
      </c>
      <c r="V205" s="3">
        <v>709</v>
      </c>
      <c r="W205" s="3">
        <v>0</v>
      </c>
      <c r="X205" s="3" t="s">
        <v>97</v>
      </c>
      <c r="Y205" s="3" t="s">
        <v>97</v>
      </c>
      <c r="Z205" s="4">
        <v>46249</v>
      </c>
      <c r="AA205" s="3" t="s">
        <v>363</v>
      </c>
      <c r="AB205" s="3" t="s">
        <v>472</v>
      </c>
      <c r="AC205" s="3" t="s">
        <v>628</v>
      </c>
      <c r="AD205" s="9" t="s">
        <v>633</v>
      </c>
    </row>
    <row r="206" spans="1:30" ht="15" customHeight="1" x14ac:dyDescent="0.3">
      <c r="A206" s="8">
        <f t="shared" si="3"/>
        <v>204</v>
      </c>
      <c r="B206" s="3" t="s">
        <v>21</v>
      </c>
      <c r="C206" s="3" t="s">
        <v>382</v>
      </c>
      <c r="D206" s="3" t="s">
        <v>48</v>
      </c>
      <c r="E206" s="3" t="s">
        <v>383</v>
      </c>
      <c r="F206" s="3">
        <v>1380</v>
      </c>
      <c r="G206" s="4">
        <v>46245</v>
      </c>
      <c r="H206" s="4"/>
      <c r="I206" s="3" t="s">
        <v>335</v>
      </c>
      <c r="J206" s="3" t="s">
        <v>28</v>
      </c>
      <c r="K206" s="3">
        <v>1</v>
      </c>
      <c r="L206" s="3">
        <v>20</v>
      </c>
      <c r="M206" s="3" t="s">
        <v>32</v>
      </c>
      <c r="N206" s="4">
        <v>46247</v>
      </c>
      <c r="O206" s="4">
        <v>46249</v>
      </c>
      <c r="P206" s="3" t="s">
        <v>219</v>
      </c>
      <c r="Q206" s="3" t="s">
        <v>29</v>
      </c>
      <c r="R206" s="3" t="s">
        <v>26</v>
      </c>
      <c r="S206" s="3"/>
      <c r="T206" s="3"/>
      <c r="U206" s="3" t="s">
        <v>363</v>
      </c>
      <c r="V206" s="3">
        <v>709</v>
      </c>
      <c r="W206" s="3">
        <v>0</v>
      </c>
      <c r="X206" s="3" t="s">
        <v>97</v>
      </c>
      <c r="Y206" s="3" t="s">
        <v>97</v>
      </c>
      <c r="Z206" s="4">
        <v>46249</v>
      </c>
      <c r="AA206" s="3" t="s">
        <v>363</v>
      </c>
      <c r="AB206" s="3" t="s">
        <v>472</v>
      </c>
      <c r="AC206" s="3" t="s">
        <v>628</v>
      </c>
      <c r="AD206" s="9" t="s">
        <v>633</v>
      </c>
    </row>
    <row r="207" spans="1:30" ht="15" customHeight="1" x14ac:dyDescent="0.3">
      <c r="A207" s="8">
        <f t="shared" si="3"/>
        <v>205</v>
      </c>
      <c r="B207" s="3" t="s">
        <v>21</v>
      </c>
      <c r="C207" s="3" t="s">
        <v>384</v>
      </c>
      <c r="D207" s="3" t="s">
        <v>48</v>
      </c>
      <c r="E207" s="3" t="s">
        <v>385</v>
      </c>
      <c r="F207" s="3">
        <v>1381</v>
      </c>
      <c r="G207" s="4">
        <v>46245</v>
      </c>
      <c r="H207" s="4"/>
      <c r="I207" s="3" t="s">
        <v>335</v>
      </c>
      <c r="J207" s="3" t="s">
        <v>28</v>
      </c>
      <c r="K207" s="3">
        <v>50</v>
      </c>
      <c r="L207" s="3">
        <v>50</v>
      </c>
      <c r="M207" s="3" t="s">
        <v>32</v>
      </c>
      <c r="N207" s="4">
        <v>46247</v>
      </c>
      <c r="O207" s="4">
        <v>46249</v>
      </c>
      <c r="P207" s="3" t="s">
        <v>219</v>
      </c>
      <c r="Q207" s="3" t="s">
        <v>29</v>
      </c>
      <c r="R207" s="3" t="s">
        <v>26</v>
      </c>
      <c r="S207" s="3"/>
      <c r="T207" s="3"/>
      <c r="U207" s="3" t="s">
        <v>363</v>
      </c>
      <c r="V207" s="3">
        <v>709</v>
      </c>
      <c r="W207" s="3">
        <v>0</v>
      </c>
      <c r="X207" s="3" t="s">
        <v>97</v>
      </c>
      <c r="Y207" s="3" t="s">
        <v>97</v>
      </c>
      <c r="Z207" s="4">
        <v>46249</v>
      </c>
      <c r="AA207" s="3" t="s">
        <v>363</v>
      </c>
      <c r="AB207" s="3" t="s">
        <v>472</v>
      </c>
      <c r="AC207" s="3" t="s">
        <v>628</v>
      </c>
      <c r="AD207" s="9" t="s">
        <v>633</v>
      </c>
    </row>
    <row r="208" spans="1:30" ht="15" customHeight="1" x14ac:dyDescent="0.3">
      <c r="A208" s="8">
        <f t="shared" si="3"/>
        <v>206</v>
      </c>
      <c r="B208" s="3" t="s">
        <v>21</v>
      </c>
      <c r="C208" s="3" t="s">
        <v>384</v>
      </c>
      <c r="D208" s="3" t="s">
        <v>48</v>
      </c>
      <c r="E208" s="3" t="s">
        <v>385</v>
      </c>
      <c r="F208" s="3">
        <v>1381</v>
      </c>
      <c r="G208" s="4">
        <v>46245</v>
      </c>
      <c r="H208" s="4"/>
      <c r="I208" s="3" t="s">
        <v>335</v>
      </c>
      <c r="J208" s="3" t="s">
        <v>28</v>
      </c>
      <c r="K208" s="3">
        <v>3</v>
      </c>
      <c r="L208" s="3">
        <v>3</v>
      </c>
      <c r="M208" s="3" t="s">
        <v>32</v>
      </c>
      <c r="N208" s="4">
        <v>46247</v>
      </c>
      <c r="O208" s="4">
        <v>46249</v>
      </c>
      <c r="P208" s="3" t="s">
        <v>219</v>
      </c>
      <c r="Q208" s="3" t="s">
        <v>29</v>
      </c>
      <c r="R208" s="3" t="s">
        <v>26</v>
      </c>
      <c r="S208" s="3"/>
      <c r="T208" s="3"/>
      <c r="U208" s="3" t="s">
        <v>363</v>
      </c>
      <c r="V208" s="3">
        <v>709</v>
      </c>
      <c r="W208" s="3">
        <v>0</v>
      </c>
      <c r="X208" s="3" t="s">
        <v>97</v>
      </c>
      <c r="Y208" s="3" t="s">
        <v>97</v>
      </c>
      <c r="Z208" s="4">
        <v>46249</v>
      </c>
      <c r="AA208" s="3" t="s">
        <v>363</v>
      </c>
      <c r="AB208" s="3" t="s">
        <v>472</v>
      </c>
      <c r="AC208" s="3" t="s">
        <v>628</v>
      </c>
      <c r="AD208" s="9" t="s">
        <v>633</v>
      </c>
    </row>
    <row r="209" spans="1:30" ht="15" customHeight="1" x14ac:dyDescent="0.3">
      <c r="A209" s="8">
        <f t="shared" si="3"/>
        <v>207</v>
      </c>
      <c r="B209" s="3" t="s">
        <v>21</v>
      </c>
      <c r="C209" s="3" t="s">
        <v>386</v>
      </c>
      <c r="D209" s="3" t="s">
        <v>387</v>
      </c>
      <c r="E209" s="3">
        <v>716286942</v>
      </c>
      <c r="F209" s="3">
        <v>1383</v>
      </c>
      <c r="G209" s="4">
        <v>46245</v>
      </c>
      <c r="H209" s="4"/>
      <c r="I209" s="3" t="s">
        <v>335</v>
      </c>
      <c r="J209" s="3" t="s">
        <v>28</v>
      </c>
      <c r="K209" s="3">
        <v>100</v>
      </c>
      <c r="L209" s="3">
        <v>2000</v>
      </c>
      <c r="M209" s="3" t="s">
        <v>32</v>
      </c>
      <c r="N209" s="4">
        <v>46254</v>
      </c>
      <c r="O209" s="4">
        <v>46251</v>
      </c>
      <c r="P209" s="3" t="s">
        <v>219</v>
      </c>
      <c r="Q209" s="3" t="s">
        <v>29</v>
      </c>
      <c r="R209" s="3" t="s">
        <v>26</v>
      </c>
      <c r="S209" s="3"/>
      <c r="T209" s="3"/>
      <c r="U209" s="3" t="s">
        <v>388</v>
      </c>
      <c r="V209" s="3">
        <v>709</v>
      </c>
      <c r="W209" s="3">
        <v>0</v>
      </c>
      <c r="X209" s="3" t="s">
        <v>97</v>
      </c>
      <c r="Y209" s="3" t="s">
        <v>97</v>
      </c>
      <c r="Z209" s="4">
        <v>46250</v>
      </c>
      <c r="AA209" s="3" t="s">
        <v>389</v>
      </c>
      <c r="AB209" s="3" t="s">
        <v>471</v>
      </c>
      <c r="AC209" s="3" t="s">
        <v>622</v>
      </c>
      <c r="AD209" s="7" t="s">
        <v>633</v>
      </c>
    </row>
    <row r="210" spans="1:30" ht="15" customHeight="1" x14ac:dyDescent="0.3">
      <c r="A210" s="8">
        <f t="shared" si="3"/>
        <v>208</v>
      </c>
      <c r="B210" s="3" t="s">
        <v>21</v>
      </c>
      <c r="C210" s="3" t="s">
        <v>386</v>
      </c>
      <c r="D210" s="3" t="s">
        <v>387</v>
      </c>
      <c r="E210" s="3">
        <v>716287011</v>
      </c>
      <c r="F210" s="3">
        <v>1383</v>
      </c>
      <c r="G210" s="4">
        <v>46245</v>
      </c>
      <c r="H210" s="4"/>
      <c r="I210" s="3" t="s">
        <v>335</v>
      </c>
      <c r="J210" s="3" t="s">
        <v>28</v>
      </c>
      <c r="K210" s="3">
        <v>100</v>
      </c>
      <c r="L210" s="3">
        <v>2000</v>
      </c>
      <c r="M210" s="3" t="s">
        <v>32</v>
      </c>
      <c r="N210" s="4">
        <v>46247</v>
      </c>
      <c r="O210" s="4">
        <v>46246</v>
      </c>
      <c r="P210" s="3" t="s">
        <v>219</v>
      </c>
      <c r="Q210" s="3" t="s">
        <v>29</v>
      </c>
      <c r="R210" s="3" t="s">
        <v>26</v>
      </c>
      <c r="S210" s="3"/>
      <c r="T210" s="3"/>
      <c r="U210" s="3" t="s">
        <v>389</v>
      </c>
      <c r="V210" s="3">
        <v>709</v>
      </c>
      <c r="W210" s="3">
        <v>0</v>
      </c>
      <c r="X210" s="3" t="s">
        <v>97</v>
      </c>
      <c r="Y210" s="3" t="s">
        <v>97</v>
      </c>
      <c r="Z210" s="4">
        <v>46246</v>
      </c>
      <c r="AA210" s="3" t="s">
        <v>389</v>
      </c>
      <c r="AB210" s="3" t="s">
        <v>471</v>
      </c>
      <c r="AC210" s="3" t="s">
        <v>622</v>
      </c>
      <c r="AD210" s="9" t="s">
        <v>633</v>
      </c>
    </row>
    <row r="211" spans="1:30" ht="15" customHeight="1" x14ac:dyDescent="0.3">
      <c r="A211" s="8">
        <f t="shared" si="3"/>
        <v>209</v>
      </c>
      <c r="B211" s="3" t="s">
        <v>21</v>
      </c>
      <c r="C211" s="3" t="s">
        <v>386</v>
      </c>
      <c r="D211" s="3" t="s">
        <v>387</v>
      </c>
      <c r="E211" s="3">
        <v>716287009</v>
      </c>
      <c r="F211" s="3">
        <v>1384</v>
      </c>
      <c r="G211" s="4">
        <v>46245</v>
      </c>
      <c r="H211" s="4"/>
      <c r="I211" s="3" t="s">
        <v>335</v>
      </c>
      <c r="J211" s="3" t="s">
        <v>28</v>
      </c>
      <c r="K211" s="3">
        <v>200</v>
      </c>
      <c r="L211" s="3">
        <v>4000</v>
      </c>
      <c r="M211" s="3" t="s">
        <v>32</v>
      </c>
      <c r="N211" s="4">
        <v>46247</v>
      </c>
      <c r="O211" s="4">
        <v>46246</v>
      </c>
      <c r="P211" s="3" t="s">
        <v>219</v>
      </c>
      <c r="Q211" s="3" t="s">
        <v>29</v>
      </c>
      <c r="R211" s="3" t="s">
        <v>26</v>
      </c>
      <c r="S211" s="3"/>
      <c r="T211" s="3"/>
      <c r="U211" s="3" t="s">
        <v>389</v>
      </c>
      <c r="V211" s="3">
        <v>709</v>
      </c>
      <c r="W211" s="3">
        <v>0</v>
      </c>
      <c r="X211" s="3" t="s">
        <v>97</v>
      </c>
      <c r="Y211" s="3" t="s">
        <v>97</v>
      </c>
      <c r="Z211" s="4">
        <v>46246</v>
      </c>
      <c r="AA211" s="3" t="s">
        <v>389</v>
      </c>
      <c r="AB211" s="3" t="s">
        <v>471</v>
      </c>
      <c r="AC211" s="3" t="s">
        <v>622</v>
      </c>
      <c r="AD211" s="7" t="s">
        <v>633</v>
      </c>
    </row>
    <row r="212" spans="1:30" ht="15" customHeight="1" x14ac:dyDescent="0.3">
      <c r="A212" s="8">
        <f t="shared" si="3"/>
        <v>210</v>
      </c>
      <c r="B212" s="3" t="s">
        <v>21</v>
      </c>
      <c r="C212" s="3" t="s">
        <v>390</v>
      </c>
      <c r="D212" s="3" t="s">
        <v>132</v>
      </c>
      <c r="E212" s="3" t="s">
        <v>391</v>
      </c>
      <c r="F212" s="3">
        <v>1385</v>
      </c>
      <c r="G212" s="4">
        <v>46245</v>
      </c>
      <c r="H212" s="4"/>
      <c r="I212" s="3" t="s">
        <v>335</v>
      </c>
      <c r="J212" s="3" t="s">
        <v>28</v>
      </c>
      <c r="K212" s="3">
        <v>25</v>
      </c>
      <c r="L212" s="3">
        <f>K212*20</f>
        <v>500</v>
      </c>
      <c r="M212" s="3" t="s">
        <v>32</v>
      </c>
      <c r="N212" s="4">
        <v>46254</v>
      </c>
      <c r="O212" s="4">
        <v>46251</v>
      </c>
      <c r="P212" s="3" t="s">
        <v>219</v>
      </c>
      <c r="Q212" s="3" t="s">
        <v>29</v>
      </c>
      <c r="R212" s="3" t="s">
        <v>26</v>
      </c>
      <c r="S212" s="3"/>
      <c r="T212" s="3"/>
      <c r="U212" s="3" t="s">
        <v>392</v>
      </c>
      <c r="V212" s="3">
        <v>709</v>
      </c>
      <c r="W212" s="3">
        <v>0</v>
      </c>
      <c r="X212" s="3" t="s">
        <v>97</v>
      </c>
      <c r="Y212" s="3" t="s">
        <v>97</v>
      </c>
      <c r="Z212" s="4">
        <v>46248</v>
      </c>
      <c r="AA212" s="3" t="s">
        <v>598</v>
      </c>
      <c r="AB212" s="3" t="s">
        <v>609</v>
      </c>
      <c r="AC212" s="3" t="s">
        <v>626</v>
      </c>
      <c r="AD212" s="9" t="s">
        <v>633</v>
      </c>
    </row>
    <row r="213" spans="1:30" ht="15" customHeight="1" x14ac:dyDescent="0.3">
      <c r="A213" s="8">
        <f t="shared" si="3"/>
        <v>211</v>
      </c>
      <c r="B213" s="3" t="s">
        <v>21</v>
      </c>
      <c r="C213" s="3" t="s">
        <v>390</v>
      </c>
      <c r="D213" s="3" t="s">
        <v>132</v>
      </c>
      <c r="E213" s="3" t="s">
        <v>391</v>
      </c>
      <c r="F213" s="3">
        <v>1385</v>
      </c>
      <c r="G213" s="4">
        <v>46245</v>
      </c>
      <c r="H213" s="4"/>
      <c r="I213" s="3" t="s">
        <v>335</v>
      </c>
      <c r="J213" s="3" t="s">
        <v>28</v>
      </c>
      <c r="K213" s="3">
        <v>1</v>
      </c>
      <c r="L213" s="3">
        <v>20</v>
      </c>
      <c r="M213" s="3" t="s">
        <v>32</v>
      </c>
      <c r="N213" s="4">
        <v>46254</v>
      </c>
      <c r="O213" s="4">
        <v>46251</v>
      </c>
      <c r="P213" s="3" t="s">
        <v>219</v>
      </c>
      <c r="Q213" s="3" t="s">
        <v>29</v>
      </c>
      <c r="R213" s="3" t="s">
        <v>26</v>
      </c>
      <c r="S213" s="3"/>
      <c r="T213" s="3"/>
      <c r="U213" s="3" t="s">
        <v>392</v>
      </c>
      <c r="V213" s="3">
        <v>709</v>
      </c>
      <c r="W213" s="3">
        <v>0</v>
      </c>
      <c r="X213" s="3" t="s">
        <v>97</v>
      </c>
      <c r="Y213" s="3" t="s">
        <v>97</v>
      </c>
      <c r="Z213" s="4">
        <v>46248</v>
      </c>
      <c r="AA213" s="3" t="s">
        <v>598</v>
      </c>
      <c r="AB213" s="3" t="s">
        <v>609</v>
      </c>
      <c r="AC213" s="3" t="s">
        <v>626</v>
      </c>
      <c r="AD213" s="9" t="s">
        <v>633</v>
      </c>
    </row>
    <row r="214" spans="1:30" ht="15" customHeight="1" x14ac:dyDescent="0.3">
      <c r="A214" s="8">
        <f t="shared" si="3"/>
        <v>212</v>
      </c>
      <c r="B214" s="3" t="s">
        <v>21</v>
      </c>
      <c r="C214" s="3" t="s">
        <v>394</v>
      </c>
      <c r="D214" s="3" t="s">
        <v>132</v>
      </c>
      <c r="E214" s="3" t="s">
        <v>393</v>
      </c>
      <c r="F214" s="3">
        <v>1386</v>
      </c>
      <c r="G214" s="4">
        <v>46245</v>
      </c>
      <c r="H214" s="4"/>
      <c r="I214" s="3" t="s">
        <v>335</v>
      </c>
      <c r="J214" s="3" t="s">
        <v>28</v>
      </c>
      <c r="K214" s="3">
        <v>25</v>
      </c>
      <c r="L214" s="3">
        <f>K214*20</f>
        <v>500</v>
      </c>
      <c r="M214" s="3" t="s">
        <v>32</v>
      </c>
      <c r="N214" s="4">
        <v>46254</v>
      </c>
      <c r="O214" s="4">
        <v>46251</v>
      </c>
      <c r="P214" s="3" t="s">
        <v>219</v>
      </c>
      <c r="Q214" s="3" t="s">
        <v>29</v>
      </c>
      <c r="R214" s="3" t="s">
        <v>26</v>
      </c>
      <c r="S214" s="3"/>
      <c r="T214" s="3"/>
      <c r="U214" s="3" t="s">
        <v>392</v>
      </c>
      <c r="V214" s="3">
        <v>709</v>
      </c>
      <c r="W214" s="3">
        <v>0</v>
      </c>
      <c r="X214" s="3" t="s">
        <v>97</v>
      </c>
      <c r="Y214" s="3" t="s">
        <v>97</v>
      </c>
      <c r="Z214" s="4">
        <v>46248</v>
      </c>
      <c r="AA214" s="3" t="s">
        <v>598</v>
      </c>
      <c r="AB214" s="3" t="s">
        <v>609</v>
      </c>
      <c r="AC214" s="3" t="s">
        <v>626</v>
      </c>
      <c r="AD214" s="9" t="s">
        <v>633</v>
      </c>
    </row>
    <row r="215" spans="1:30" ht="15" customHeight="1" x14ac:dyDescent="0.3">
      <c r="A215" s="8">
        <f t="shared" si="3"/>
        <v>213</v>
      </c>
      <c r="B215" s="3" t="s">
        <v>21</v>
      </c>
      <c r="C215" s="3" t="s">
        <v>394</v>
      </c>
      <c r="D215" s="3" t="s">
        <v>132</v>
      </c>
      <c r="E215" s="3" t="s">
        <v>393</v>
      </c>
      <c r="F215" s="3">
        <v>1386</v>
      </c>
      <c r="G215" s="4">
        <v>46245</v>
      </c>
      <c r="H215" s="4"/>
      <c r="I215" s="3" t="s">
        <v>335</v>
      </c>
      <c r="J215" s="3" t="s">
        <v>28</v>
      </c>
      <c r="K215" s="3">
        <v>1</v>
      </c>
      <c r="L215" s="3">
        <v>20</v>
      </c>
      <c r="M215" s="3" t="s">
        <v>32</v>
      </c>
      <c r="N215" s="4">
        <v>46254</v>
      </c>
      <c r="O215" s="4">
        <v>46251</v>
      </c>
      <c r="P215" s="3" t="s">
        <v>219</v>
      </c>
      <c r="Q215" s="3" t="s">
        <v>29</v>
      </c>
      <c r="R215" s="3" t="s">
        <v>26</v>
      </c>
      <c r="S215" s="3"/>
      <c r="T215" s="3"/>
      <c r="U215" s="3" t="s">
        <v>392</v>
      </c>
      <c r="V215" s="3">
        <v>709</v>
      </c>
      <c r="W215" s="3">
        <v>0</v>
      </c>
      <c r="X215" s="3" t="s">
        <v>97</v>
      </c>
      <c r="Y215" s="3" t="s">
        <v>97</v>
      </c>
      <c r="Z215" s="4">
        <v>46248</v>
      </c>
      <c r="AA215" s="3" t="s">
        <v>598</v>
      </c>
      <c r="AB215" s="3" t="s">
        <v>609</v>
      </c>
      <c r="AC215" s="3" t="s">
        <v>626</v>
      </c>
      <c r="AD215" s="9" t="s">
        <v>633</v>
      </c>
    </row>
    <row r="216" spans="1:30" ht="15" customHeight="1" x14ac:dyDescent="0.3">
      <c r="A216" s="8">
        <f t="shared" si="3"/>
        <v>214</v>
      </c>
      <c r="B216" s="3" t="s">
        <v>21</v>
      </c>
      <c r="C216" s="3" t="s">
        <v>395</v>
      </c>
      <c r="D216" s="3" t="s">
        <v>132</v>
      </c>
      <c r="E216" s="3" t="s">
        <v>396</v>
      </c>
      <c r="F216" s="3">
        <v>1387</v>
      </c>
      <c r="G216" s="4">
        <v>46245</v>
      </c>
      <c r="H216" s="4"/>
      <c r="I216" s="3" t="s">
        <v>335</v>
      </c>
      <c r="J216" s="3" t="s">
        <v>28</v>
      </c>
      <c r="K216" s="3">
        <v>100</v>
      </c>
      <c r="L216" s="3">
        <v>2000</v>
      </c>
      <c r="M216" s="3" t="s">
        <v>32</v>
      </c>
      <c r="N216" s="4">
        <v>46254</v>
      </c>
      <c r="O216" s="4">
        <v>46251</v>
      </c>
      <c r="P216" s="3" t="s">
        <v>219</v>
      </c>
      <c r="Q216" s="3" t="s">
        <v>29</v>
      </c>
      <c r="R216" s="3" t="s">
        <v>26</v>
      </c>
      <c r="S216" s="3"/>
      <c r="T216" s="3"/>
      <c r="U216" s="3" t="s">
        <v>392</v>
      </c>
      <c r="V216" s="3">
        <v>709</v>
      </c>
      <c r="W216" s="3">
        <v>0</v>
      </c>
      <c r="X216" s="3" t="s">
        <v>97</v>
      </c>
      <c r="Y216" s="3" t="s">
        <v>97</v>
      </c>
      <c r="Z216" s="4">
        <v>46248</v>
      </c>
      <c r="AA216" s="3" t="s">
        <v>598</v>
      </c>
      <c r="AB216" s="3" t="s">
        <v>609</v>
      </c>
      <c r="AC216" s="3" t="s">
        <v>626</v>
      </c>
      <c r="AD216" s="9" t="s">
        <v>633</v>
      </c>
    </row>
    <row r="217" spans="1:30" ht="15" customHeight="1" x14ac:dyDescent="0.3">
      <c r="A217" s="8">
        <f t="shared" si="3"/>
        <v>215</v>
      </c>
      <c r="B217" s="3" t="s">
        <v>21</v>
      </c>
      <c r="C217" s="3" t="s">
        <v>395</v>
      </c>
      <c r="D217" s="3" t="s">
        <v>132</v>
      </c>
      <c r="E217" s="3" t="s">
        <v>396</v>
      </c>
      <c r="F217" s="3">
        <v>1387</v>
      </c>
      <c r="G217" s="4">
        <v>46245</v>
      </c>
      <c r="H217" s="4"/>
      <c r="I217" s="3" t="s">
        <v>335</v>
      </c>
      <c r="J217" s="3" t="s">
        <v>28</v>
      </c>
      <c r="K217" s="3">
        <v>8</v>
      </c>
      <c r="L217" s="3">
        <v>160</v>
      </c>
      <c r="M217" s="3" t="s">
        <v>32</v>
      </c>
      <c r="N217" s="4">
        <v>46254</v>
      </c>
      <c r="O217" s="4">
        <v>46251</v>
      </c>
      <c r="P217" s="3" t="s">
        <v>219</v>
      </c>
      <c r="Q217" s="3" t="s">
        <v>29</v>
      </c>
      <c r="R217" s="3" t="s">
        <v>26</v>
      </c>
      <c r="S217" s="3"/>
      <c r="T217" s="3"/>
      <c r="U217" s="3" t="s">
        <v>392</v>
      </c>
      <c r="V217" s="3">
        <v>709</v>
      </c>
      <c r="W217" s="3">
        <v>0</v>
      </c>
      <c r="X217" s="3" t="s">
        <v>97</v>
      </c>
      <c r="Y217" s="3" t="s">
        <v>97</v>
      </c>
      <c r="Z217" s="4">
        <v>46248</v>
      </c>
      <c r="AA217" s="3" t="s">
        <v>598</v>
      </c>
      <c r="AB217" s="3" t="s">
        <v>609</v>
      </c>
      <c r="AC217" s="3" t="s">
        <v>626</v>
      </c>
      <c r="AD217" s="9" t="s">
        <v>633</v>
      </c>
    </row>
    <row r="218" spans="1:30" ht="15" hidden="1" customHeight="1" x14ac:dyDescent="0.3">
      <c r="A218" s="8">
        <f t="shared" si="3"/>
        <v>216</v>
      </c>
      <c r="B218" s="3" t="s">
        <v>21</v>
      </c>
      <c r="C218" s="3" t="s">
        <v>397</v>
      </c>
      <c r="D218" s="3" t="s">
        <v>132</v>
      </c>
      <c r="E218" s="3" t="s">
        <v>398</v>
      </c>
      <c r="F218" s="3">
        <v>1388</v>
      </c>
      <c r="G218" s="4">
        <v>46245</v>
      </c>
      <c r="H218" s="4"/>
      <c r="I218" s="3" t="s">
        <v>335</v>
      </c>
      <c r="J218" s="3" t="s">
        <v>28</v>
      </c>
      <c r="K218" s="3">
        <v>50</v>
      </c>
      <c r="L218" s="3">
        <v>50</v>
      </c>
      <c r="M218" s="3" t="s">
        <v>32</v>
      </c>
      <c r="N218" s="4">
        <v>46259</v>
      </c>
      <c r="O218" s="4">
        <v>46259</v>
      </c>
      <c r="P218" s="3" t="s">
        <v>637</v>
      </c>
      <c r="Q218" s="3" t="s">
        <v>29</v>
      </c>
      <c r="R218" s="3" t="s">
        <v>26</v>
      </c>
      <c r="S218" s="3"/>
      <c r="T218" s="3"/>
      <c r="U218" s="3" t="s">
        <v>392</v>
      </c>
      <c r="V218" s="3">
        <v>709</v>
      </c>
      <c r="W218" s="3">
        <v>0</v>
      </c>
      <c r="X218" s="3" t="s">
        <v>637</v>
      </c>
      <c r="Y218" s="3" t="s">
        <v>637</v>
      </c>
      <c r="Z218" s="4">
        <v>46259</v>
      </c>
      <c r="AA218" s="3" t="s">
        <v>638</v>
      </c>
      <c r="AB218" s="3" t="s">
        <v>639</v>
      </c>
      <c r="AC218" s="3"/>
      <c r="AD218" s="9" t="s">
        <v>643</v>
      </c>
    </row>
    <row r="219" spans="1:30" ht="15" hidden="1" customHeight="1" x14ac:dyDescent="0.3">
      <c r="A219" s="8">
        <f t="shared" si="3"/>
        <v>217</v>
      </c>
      <c r="B219" s="3" t="s">
        <v>21</v>
      </c>
      <c r="C219" s="3" t="s">
        <v>397</v>
      </c>
      <c r="D219" s="3" t="s">
        <v>132</v>
      </c>
      <c r="E219" s="3" t="s">
        <v>398</v>
      </c>
      <c r="F219" s="3">
        <v>1388</v>
      </c>
      <c r="G219" s="4">
        <v>46245</v>
      </c>
      <c r="H219" s="4"/>
      <c r="I219" s="3" t="s">
        <v>335</v>
      </c>
      <c r="J219" s="3" t="s">
        <v>28</v>
      </c>
      <c r="K219" s="3">
        <v>3</v>
      </c>
      <c r="L219" s="3">
        <v>3</v>
      </c>
      <c r="M219" s="3" t="s">
        <v>32</v>
      </c>
      <c r="N219" s="4">
        <v>46259</v>
      </c>
      <c r="O219" s="4">
        <v>46259</v>
      </c>
      <c r="P219" s="3" t="s">
        <v>637</v>
      </c>
      <c r="Q219" s="3" t="s">
        <v>29</v>
      </c>
      <c r="R219" s="3" t="s">
        <v>26</v>
      </c>
      <c r="S219" s="3"/>
      <c r="T219" s="3"/>
      <c r="U219" s="3" t="s">
        <v>392</v>
      </c>
      <c r="V219" s="3">
        <v>709</v>
      </c>
      <c r="W219" s="3">
        <v>0</v>
      </c>
      <c r="X219" s="3" t="s">
        <v>637</v>
      </c>
      <c r="Y219" s="3" t="s">
        <v>637</v>
      </c>
      <c r="Z219" s="4">
        <v>46259</v>
      </c>
      <c r="AA219" s="3" t="s">
        <v>638</v>
      </c>
      <c r="AB219" s="3" t="s">
        <v>639</v>
      </c>
      <c r="AC219" s="3"/>
      <c r="AD219" s="9" t="s">
        <v>643</v>
      </c>
    </row>
    <row r="220" spans="1:30" ht="15" customHeight="1" x14ac:dyDescent="0.3">
      <c r="A220" s="8">
        <f t="shared" si="3"/>
        <v>218</v>
      </c>
      <c r="B220" s="3" t="s">
        <v>21</v>
      </c>
      <c r="C220" s="3" t="s">
        <v>399</v>
      </c>
      <c r="D220" s="3" t="s">
        <v>132</v>
      </c>
      <c r="E220" s="3" t="s">
        <v>400</v>
      </c>
      <c r="F220" s="3">
        <v>1389</v>
      </c>
      <c r="G220" s="4">
        <v>46245</v>
      </c>
      <c r="H220" s="4"/>
      <c r="I220" s="3" t="s">
        <v>335</v>
      </c>
      <c r="J220" s="3" t="s">
        <v>28</v>
      </c>
      <c r="K220" s="3">
        <v>25</v>
      </c>
      <c r="L220" s="3">
        <f>K220*20</f>
        <v>500</v>
      </c>
      <c r="M220" s="3" t="s">
        <v>32</v>
      </c>
      <c r="N220" s="4">
        <v>46254</v>
      </c>
      <c r="O220" s="4">
        <v>46251</v>
      </c>
      <c r="P220" s="3" t="s">
        <v>219</v>
      </c>
      <c r="Q220" s="3" t="s">
        <v>29</v>
      </c>
      <c r="R220" s="3" t="s">
        <v>26</v>
      </c>
      <c r="S220" s="3"/>
      <c r="T220" s="3"/>
      <c r="U220" s="3" t="s">
        <v>392</v>
      </c>
      <c r="V220" s="3">
        <v>709</v>
      </c>
      <c r="W220" s="3">
        <v>0</v>
      </c>
      <c r="X220" s="3" t="s">
        <v>97</v>
      </c>
      <c r="Y220" s="3" t="s">
        <v>97</v>
      </c>
      <c r="Z220" s="4">
        <v>46248</v>
      </c>
      <c r="AA220" s="3" t="s">
        <v>598</v>
      </c>
      <c r="AB220" s="3" t="s">
        <v>609</v>
      </c>
      <c r="AC220" s="3" t="s">
        <v>626</v>
      </c>
      <c r="AD220" s="9" t="s">
        <v>633</v>
      </c>
    </row>
    <row r="221" spans="1:30" ht="15" customHeight="1" x14ac:dyDescent="0.3">
      <c r="A221" s="8">
        <f t="shared" si="3"/>
        <v>219</v>
      </c>
      <c r="B221" s="3" t="s">
        <v>21</v>
      </c>
      <c r="C221" s="3" t="s">
        <v>399</v>
      </c>
      <c r="D221" s="3" t="s">
        <v>132</v>
      </c>
      <c r="E221" s="3" t="s">
        <v>400</v>
      </c>
      <c r="F221" s="3">
        <v>1389</v>
      </c>
      <c r="G221" s="4">
        <v>46245</v>
      </c>
      <c r="H221" s="4"/>
      <c r="I221" s="3" t="s">
        <v>335</v>
      </c>
      <c r="J221" s="3" t="s">
        <v>28</v>
      </c>
      <c r="K221" s="3">
        <v>1</v>
      </c>
      <c r="L221" s="3">
        <v>20</v>
      </c>
      <c r="M221" s="3" t="s">
        <v>32</v>
      </c>
      <c r="N221" s="4">
        <v>46254</v>
      </c>
      <c r="O221" s="4">
        <v>46251</v>
      </c>
      <c r="P221" s="3" t="s">
        <v>219</v>
      </c>
      <c r="Q221" s="3" t="s">
        <v>29</v>
      </c>
      <c r="R221" s="3" t="s">
        <v>26</v>
      </c>
      <c r="S221" s="3"/>
      <c r="T221" s="3"/>
      <c r="U221" s="3" t="s">
        <v>392</v>
      </c>
      <c r="V221" s="3">
        <v>709</v>
      </c>
      <c r="W221" s="3">
        <v>0</v>
      </c>
      <c r="X221" s="3" t="s">
        <v>97</v>
      </c>
      <c r="Y221" s="3" t="s">
        <v>97</v>
      </c>
      <c r="Z221" s="4">
        <v>46248</v>
      </c>
      <c r="AA221" s="3" t="s">
        <v>598</v>
      </c>
      <c r="AB221" s="3" t="s">
        <v>609</v>
      </c>
      <c r="AC221" s="3" t="s">
        <v>626</v>
      </c>
      <c r="AD221" s="9" t="s">
        <v>633</v>
      </c>
    </row>
    <row r="222" spans="1:30" ht="15" hidden="1" customHeight="1" x14ac:dyDescent="0.3">
      <c r="A222" s="8">
        <f t="shared" si="3"/>
        <v>220</v>
      </c>
      <c r="B222" s="3" t="s">
        <v>21</v>
      </c>
      <c r="C222" s="3" t="s">
        <v>401</v>
      </c>
      <c r="D222" s="3" t="s">
        <v>48</v>
      </c>
      <c r="E222" s="3" t="s">
        <v>400</v>
      </c>
      <c r="F222" s="3">
        <v>1390</v>
      </c>
      <c r="G222" s="4">
        <v>46245</v>
      </c>
      <c r="H222" s="4"/>
      <c r="I222" s="3" t="s">
        <v>335</v>
      </c>
      <c r="J222" s="3" t="s">
        <v>28</v>
      </c>
      <c r="K222" s="3">
        <v>25</v>
      </c>
      <c r="L222" s="3">
        <f>K222*20</f>
        <v>500</v>
      </c>
      <c r="M222" s="3" t="s">
        <v>32</v>
      </c>
      <c r="N222" s="4">
        <v>46259</v>
      </c>
      <c r="O222" s="4">
        <v>46259</v>
      </c>
      <c r="P222" s="3" t="s">
        <v>637</v>
      </c>
      <c r="Q222" s="3" t="s">
        <v>29</v>
      </c>
      <c r="R222" s="3" t="s">
        <v>26</v>
      </c>
      <c r="S222" s="3"/>
      <c r="T222" s="3"/>
      <c r="U222" s="3" t="s">
        <v>392</v>
      </c>
      <c r="V222" s="3">
        <v>709</v>
      </c>
      <c r="W222" s="3">
        <v>0</v>
      </c>
      <c r="X222" s="3" t="s">
        <v>637</v>
      </c>
      <c r="Y222" s="3" t="s">
        <v>637</v>
      </c>
      <c r="Z222" s="4">
        <v>46259</v>
      </c>
      <c r="AA222" s="3" t="s">
        <v>638</v>
      </c>
      <c r="AB222" s="3" t="s">
        <v>639</v>
      </c>
      <c r="AC222" s="3"/>
      <c r="AD222" s="9" t="s">
        <v>643</v>
      </c>
    </row>
    <row r="223" spans="1:30" ht="15" hidden="1" customHeight="1" x14ac:dyDescent="0.3">
      <c r="A223" s="8">
        <f t="shared" si="3"/>
        <v>221</v>
      </c>
      <c r="B223" s="3" t="s">
        <v>21</v>
      </c>
      <c r="C223" s="3" t="s">
        <v>401</v>
      </c>
      <c r="D223" s="3" t="s">
        <v>48</v>
      </c>
      <c r="E223" s="3" t="s">
        <v>400</v>
      </c>
      <c r="F223" s="3">
        <v>1390</v>
      </c>
      <c r="G223" s="4">
        <v>46245</v>
      </c>
      <c r="H223" s="4"/>
      <c r="I223" s="3" t="s">
        <v>335</v>
      </c>
      <c r="J223" s="3" t="s">
        <v>28</v>
      </c>
      <c r="K223" s="3">
        <v>1</v>
      </c>
      <c r="L223" s="3">
        <v>1</v>
      </c>
      <c r="M223" s="3" t="s">
        <v>32</v>
      </c>
      <c r="N223" s="4">
        <v>46259</v>
      </c>
      <c r="O223" s="4">
        <v>46259</v>
      </c>
      <c r="P223" s="3" t="s">
        <v>637</v>
      </c>
      <c r="Q223" s="3" t="s">
        <v>29</v>
      </c>
      <c r="R223" s="3" t="s">
        <v>26</v>
      </c>
      <c r="S223" s="3"/>
      <c r="T223" s="3"/>
      <c r="U223" s="3" t="s">
        <v>392</v>
      </c>
      <c r="V223" s="3">
        <v>709</v>
      </c>
      <c r="W223" s="3">
        <v>0</v>
      </c>
      <c r="X223" s="3" t="s">
        <v>637</v>
      </c>
      <c r="Y223" s="3" t="s">
        <v>637</v>
      </c>
      <c r="Z223" s="4">
        <v>46259</v>
      </c>
      <c r="AA223" s="3" t="s">
        <v>638</v>
      </c>
      <c r="AB223" s="3" t="s">
        <v>639</v>
      </c>
      <c r="AC223" s="3"/>
      <c r="AD223" s="9" t="s">
        <v>643</v>
      </c>
    </row>
    <row r="224" spans="1:30" ht="15" hidden="1" customHeight="1" x14ac:dyDescent="0.3">
      <c r="A224" s="8">
        <f t="shared" si="3"/>
        <v>222</v>
      </c>
      <c r="B224" s="3" t="s">
        <v>21</v>
      </c>
      <c r="C224" s="3" t="s">
        <v>402</v>
      </c>
      <c r="D224" s="3" t="s">
        <v>48</v>
      </c>
      <c r="E224" s="3" t="s">
        <v>403</v>
      </c>
      <c r="F224" s="3">
        <v>1391</v>
      </c>
      <c r="G224" s="4">
        <v>46245</v>
      </c>
      <c r="H224" s="4"/>
      <c r="I224" s="3" t="s">
        <v>335</v>
      </c>
      <c r="J224" s="3" t="s">
        <v>28</v>
      </c>
      <c r="K224" s="3">
        <v>50</v>
      </c>
      <c r="L224" s="3">
        <v>50</v>
      </c>
      <c r="M224" s="3" t="s">
        <v>32</v>
      </c>
      <c r="N224" s="4">
        <v>46247</v>
      </c>
      <c r="O224" s="4">
        <v>46257</v>
      </c>
      <c r="P224" s="3" t="s">
        <v>582</v>
      </c>
      <c r="Q224" s="3" t="s">
        <v>29</v>
      </c>
      <c r="R224" s="3" t="s">
        <v>26</v>
      </c>
      <c r="S224" s="3"/>
      <c r="T224" s="3"/>
      <c r="U224" s="3" t="s">
        <v>392</v>
      </c>
      <c r="V224" s="3">
        <v>709</v>
      </c>
      <c r="W224" s="3">
        <v>0</v>
      </c>
      <c r="X224" s="3" t="s">
        <v>582</v>
      </c>
      <c r="Y224" s="3" t="s">
        <v>582</v>
      </c>
      <c r="Z224" s="3"/>
      <c r="AA224" s="3"/>
      <c r="AB224" s="3"/>
      <c r="AC224" s="3"/>
      <c r="AD224" s="17" t="s">
        <v>652</v>
      </c>
    </row>
    <row r="225" spans="1:30" ht="15" hidden="1" customHeight="1" x14ac:dyDescent="0.3">
      <c r="A225" s="8">
        <f t="shared" si="3"/>
        <v>223</v>
      </c>
      <c r="B225" s="3" t="s">
        <v>21</v>
      </c>
      <c r="C225" s="3" t="s">
        <v>402</v>
      </c>
      <c r="D225" s="3" t="s">
        <v>48</v>
      </c>
      <c r="E225" s="3" t="s">
        <v>403</v>
      </c>
      <c r="F225" s="3">
        <v>1391</v>
      </c>
      <c r="G225" s="4">
        <v>46245</v>
      </c>
      <c r="H225" s="4"/>
      <c r="I225" s="3" t="s">
        <v>335</v>
      </c>
      <c r="J225" s="3" t="s">
        <v>28</v>
      </c>
      <c r="K225" s="3">
        <v>3</v>
      </c>
      <c r="L225" s="3">
        <v>3</v>
      </c>
      <c r="M225" s="3" t="s">
        <v>32</v>
      </c>
      <c r="N225" s="4">
        <v>46247</v>
      </c>
      <c r="O225" s="4">
        <v>46257</v>
      </c>
      <c r="P225" s="3" t="s">
        <v>582</v>
      </c>
      <c r="Q225" s="3" t="s">
        <v>29</v>
      </c>
      <c r="R225" s="3" t="s">
        <v>26</v>
      </c>
      <c r="S225" s="3"/>
      <c r="T225" s="3"/>
      <c r="U225" s="3" t="s">
        <v>392</v>
      </c>
      <c r="V225" s="3">
        <v>709</v>
      </c>
      <c r="W225" s="3">
        <v>0</v>
      </c>
      <c r="X225" s="3" t="s">
        <v>582</v>
      </c>
      <c r="Y225" s="3" t="s">
        <v>582</v>
      </c>
      <c r="Z225" s="3"/>
      <c r="AA225" s="3"/>
      <c r="AB225" s="3"/>
      <c r="AC225" s="3"/>
      <c r="AD225" s="17" t="s">
        <v>652</v>
      </c>
    </row>
    <row r="226" spans="1:30" ht="15" customHeight="1" x14ac:dyDescent="0.3">
      <c r="A226" s="8">
        <f t="shared" si="3"/>
        <v>224</v>
      </c>
      <c r="B226" s="3" t="s">
        <v>21</v>
      </c>
      <c r="C226" s="3" t="s">
        <v>404</v>
      </c>
      <c r="D226" s="3" t="s">
        <v>405</v>
      </c>
      <c r="E226" s="3" t="s">
        <v>406</v>
      </c>
      <c r="F226" s="3">
        <v>1392</v>
      </c>
      <c r="G226" s="4">
        <v>46245</v>
      </c>
      <c r="H226" s="4"/>
      <c r="I226" s="3" t="s">
        <v>335</v>
      </c>
      <c r="J226" s="3" t="s">
        <v>28</v>
      </c>
      <c r="K226" s="3">
        <v>25</v>
      </c>
      <c r="L226" s="3">
        <f>K226*20</f>
        <v>500</v>
      </c>
      <c r="M226" s="3" t="s">
        <v>32</v>
      </c>
      <c r="N226" s="4">
        <v>46259</v>
      </c>
      <c r="O226" s="4">
        <v>46259</v>
      </c>
      <c r="P226" s="3" t="s">
        <v>219</v>
      </c>
      <c r="Q226" s="3" t="s">
        <v>29</v>
      </c>
      <c r="R226" s="3" t="s">
        <v>26</v>
      </c>
      <c r="S226" s="3"/>
      <c r="T226" s="3"/>
      <c r="U226" s="3" t="s">
        <v>392</v>
      </c>
      <c r="V226" s="3">
        <v>709</v>
      </c>
      <c r="W226" s="3">
        <v>0</v>
      </c>
      <c r="X226" s="3" t="s">
        <v>97</v>
      </c>
      <c r="Y226" s="3" t="s">
        <v>97</v>
      </c>
      <c r="Z226" s="4">
        <v>46252</v>
      </c>
      <c r="AA226" s="3" t="s">
        <v>392</v>
      </c>
      <c r="AB226" s="3" t="s">
        <v>472</v>
      </c>
      <c r="AC226" s="3"/>
      <c r="AD226" s="9" t="s">
        <v>633</v>
      </c>
    </row>
    <row r="227" spans="1:30" ht="15" customHeight="1" x14ac:dyDescent="0.3">
      <c r="A227" s="8">
        <f t="shared" si="3"/>
        <v>225</v>
      </c>
      <c r="B227" s="3" t="s">
        <v>21</v>
      </c>
      <c r="C227" s="3" t="s">
        <v>404</v>
      </c>
      <c r="D227" s="3" t="s">
        <v>405</v>
      </c>
      <c r="E227" s="3" t="s">
        <v>406</v>
      </c>
      <c r="F227" s="3">
        <v>1392</v>
      </c>
      <c r="G227" s="4">
        <v>46245</v>
      </c>
      <c r="H227" s="4"/>
      <c r="I227" s="3" t="s">
        <v>335</v>
      </c>
      <c r="J227" s="3" t="s">
        <v>28</v>
      </c>
      <c r="K227" s="3">
        <v>1</v>
      </c>
      <c r="L227" s="3">
        <v>1</v>
      </c>
      <c r="M227" s="3" t="s">
        <v>32</v>
      </c>
      <c r="N227" s="4">
        <v>46259</v>
      </c>
      <c r="O227" s="4">
        <v>46259</v>
      </c>
      <c r="P227" s="3" t="s">
        <v>219</v>
      </c>
      <c r="Q227" s="3" t="s">
        <v>29</v>
      </c>
      <c r="R227" s="3" t="s">
        <v>26</v>
      </c>
      <c r="S227" s="3"/>
      <c r="T227" s="3"/>
      <c r="U227" s="3" t="s">
        <v>392</v>
      </c>
      <c r="V227" s="3">
        <v>709</v>
      </c>
      <c r="W227" s="3">
        <v>0</v>
      </c>
      <c r="X227" s="3" t="s">
        <v>97</v>
      </c>
      <c r="Y227" s="3" t="s">
        <v>97</v>
      </c>
      <c r="Z227" s="4">
        <v>46252</v>
      </c>
      <c r="AA227" s="3" t="s">
        <v>392</v>
      </c>
      <c r="AB227" s="3" t="s">
        <v>472</v>
      </c>
      <c r="AC227" s="3"/>
      <c r="AD227" s="9" t="s">
        <v>633</v>
      </c>
    </row>
    <row r="228" spans="1:30" ht="15" customHeight="1" x14ac:dyDescent="0.3">
      <c r="A228" s="8">
        <f t="shared" si="3"/>
        <v>226</v>
      </c>
      <c r="B228" s="3" t="s">
        <v>21</v>
      </c>
      <c r="C228" s="3" t="s">
        <v>407</v>
      </c>
      <c r="D228" s="3" t="s">
        <v>93</v>
      </c>
      <c r="E228" s="3" t="s">
        <v>408</v>
      </c>
      <c r="F228" s="3">
        <v>1393</v>
      </c>
      <c r="G228" s="4">
        <v>46245</v>
      </c>
      <c r="H228" s="4"/>
      <c r="I228" s="3" t="s">
        <v>335</v>
      </c>
      <c r="J228" s="3" t="s">
        <v>28</v>
      </c>
      <c r="K228" s="3">
        <v>20</v>
      </c>
      <c r="L228" s="3">
        <v>400</v>
      </c>
      <c r="M228" s="3" t="s">
        <v>32</v>
      </c>
      <c r="N228" s="4">
        <v>46255</v>
      </c>
      <c r="O228" s="4">
        <v>46254</v>
      </c>
      <c r="P228" s="3" t="s">
        <v>219</v>
      </c>
      <c r="Q228" s="3" t="s">
        <v>29</v>
      </c>
      <c r="R228" s="3" t="s">
        <v>26</v>
      </c>
      <c r="S228" s="3"/>
      <c r="T228" s="3"/>
      <c r="U228" s="3" t="s">
        <v>392</v>
      </c>
      <c r="V228" s="3">
        <v>709</v>
      </c>
      <c r="W228" s="3">
        <v>0</v>
      </c>
      <c r="X228" s="3" t="s">
        <v>97</v>
      </c>
      <c r="Y228" s="3" t="s">
        <v>97</v>
      </c>
      <c r="Z228" s="4">
        <v>46253</v>
      </c>
      <c r="AA228" s="3" t="s">
        <v>597</v>
      </c>
      <c r="AB228" s="3" t="s">
        <v>609</v>
      </c>
      <c r="AC228" s="3" t="s">
        <v>627</v>
      </c>
      <c r="AD228" s="9" t="s">
        <v>633</v>
      </c>
    </row>
    <row r="229" spans="1:30" ht="15" customHeight="1" x14ac:dyDescent="0.3">
      <c r="A229" s="8">
        <f t="shared" si="3"/>
        <v>227</v>
      </c>
      <c r="B229" s="3" t="s">
        <v>21</v>
      </c>
      <c r="C229" s="3" t="s">
        <v>407</v>
      </c>
      <c r="D229" s="3" t="s">
        <v>93</v>
      </c>
      <c r="E229" s="3" t="s">
        <v>408</v>
      </c>
      <c r="F229" s="3">
        <v>1393</v>
      </c>
      <c r="G229" s="4">
        <v>46245</v>
      </c>
      <c r="H229" s="4"/>
      <c r="I229" s="3" t="s">
        <v>335</v>
      </c>
      <c r="J229" s="3" t="s">
        <v>28</v>
      </c>
      <c r="K229" s="3">
        <v>5</v>
      </c>
      <c r="L229" s="3">
        <v>100</v>
      </c>
      <c r="M229" s="3" t="s">
        <v>32</v>
      </c>
      <c r="N229" s="4">
        <v>46255</v>
      </c>
      <c r="O229" s="4">
        <v>46254</v>
      </c>
      <c r="P229" s="3" t="s">
        <v>219</v>
      </c>
      <c r="Q229" s="3" t="s">
        <v>29</v>
      </c>
      <c r="R229" s="3" t="s">
        <v>26</v>
      </c>
      <c r="S229" s="3"/>
      <c r="T229" s="3"/>
      <c r="U229" s="3" t="s">
        <v>392</v>
      </c>
      <c r="V229" s="3">
        <v>709</v>
      </c>
      <c r="W229" s="3">
        <v>0</v>
      </c>
      <c r="X229" s="3" t="s">
        <v>97</v>
      </c>
      <c r="Y229" s="3" t="s">
        <v>97</v>
      </c>
      <c r="Z229" s="4">
        <v>46253</v>
      </c>
      <c r="AA229" s="3" t="s">
        <v>597</v>
      </c>
      <c r="AB229" s="3" t="s">
        <v>609</v>
      </c>
      <c r="AC229" s="3" t="s">
        <v>627</v>
      </c>
      <c r="AD229" s="9" t="s">
        <v>633</v>
      </c>
    </row>
    <row r="230" spans="1:30" ht="15" customHeight="1" x14ac:dyDescent="0.3">
      <c r="A230" s="8">
        <f t="shared" si="3"/>
        <v>228</v>
      </c>
      <c r="B230" s="3" t="s">
        <v>21</v>
      </c>
      <c r="C230" s="3" t="s">
        <v>410</v>
      </c>
      <c r="D230" s="3" t="s">
        <v>411</v>
      </c>
      <c r="E230" s="3" t="s">
        <v>412</v>
      </c>
      <c r="F230" s="3">
        <v>1395</v>
      </c>
      <c r="G230" s="4">
        <v>46245</v>
      </c>
      <c r="H230" s="4"/>
      <c r="I230" s="3" t="s">
        <v>335</v>
      </c>
      <c r="J230" s="3" t="s">
        <v>28</v>
      </c>
      <c r="K230" s="3">
        <v>50</v>
      </c>
      <c r="L230" s="3">
        <v>1000</v>
      </c>
      <c r="M230" s="3" t="s">
        <v>32</v>
      </c>
      <c r="N230" s="4">
        <v>46255</v>
      </c>
      <c r="O230" s="4">
        <v>46254</v>
      </c>
      <c r="P230" s="3" t="s">
        <v>219</v>
      </c>
      <c r="Q230" s="3" t="s">
        <v>29</v>
      </c>
      <c r="R230" s="3" t="s">
        <v>26</v>
      </c>
      <c r="S230" s="3"/>
      <c r="T230" s="3"/>
      <c r="U230" s="3" t="s">
        <v>392</v>
      </c>
      <c r="V230" s="3">
        <v>709</v>
      </c>
      <c r="W230" s="3">
        <v>0</v>
      </c>
      <c r="X230" s="3" t="s">
        <v>97</v>
      </c>
      <c r="Y230" s="3" t="s">
        <v>97</v>
      </c>
      <c r="Z230" s="4">
        <v>46253</v>
      </c>
      <c r="AA230" s="3" t="s">
        <v>597</v>
      </c>
      <c r="AB230" s="3" t="s">
        <v>609</v>
      </c>
      <c r="AC230" s="3" t="s">
        <v>627</v>
      </c>
      <c r="AD230" s="9" t="s">
        <v>633</v>
      </c>
    </row>
    <row r="231" spans="1:30" ht="15" customHeight="1" x14ac:dyDescent="0.3">
      <c r="A231" s="8">
        <f t="shared" si="3"/>
        <v>229</v>
      </c>
      <c r="B231" s="3" t="s">
        <v>21</v>
      </c>
      <c r="C231" s="3" t="s">
        <v>410</v>
      </c>
      <c r="D231" s="3" t="s">
        <v>411</v>
      </c>
      <c r="E231" s="3" t="s">
        <v>412</v>
      </c>
      <c r="F231" s="3">
        <v>1395</v>
      </c>
      <c r="G231" s="4">
        <v>46245</v>
      </c>
      <c r="H231" s="4"/>
      <c r="I231" s="3" t="s">
        <v>335</v>
      </c>
      <c r="J231" s="3" t="s">
        <v>28</v>
      </c>
      <c r="K231" s="3">
        <v>3</v>
      </c>
      <c r="L231" s="3">
        <v>60</v>
      </c>
      <c r="M231" s="3" t="s">
        <v>32</v>
      </c>
      <c r="N231" s="4">
        <v>46255</v>
      </c>
      <c r="O231" s="4">
        <v>46254</v>
      </c>
      <c r="P231" s="3" t="s">
        <v>219</v>
      </c>
      <c r="Q231" s="3" t="s">
        <v>29</v>
      </c>
      <c r="R231" s="3" t="s">
        <v>26</v>
      </c>
      <c r="S231" s="3"/>
      <c r="T231" s="3"/>
      <c r="U231" s="3" t="s">
        <v>392</v>
      </c>
      <c r="V231" s="3">
        <v>709</v>
      </c>
      <c r="W231" s="3">
        <v>0</v>
      </c>
      <c r="X231" s="3" t="s">
        <v>97</v>
      </c>
      <c r="Y231" s="3" t="s">
        <v>97</v>
      </c>
      <c r="Z231" s="4">
        <v>46253</v>
      </c>
      <c r="AA231" s="3" t="s">
        <v>597</v>
      </c>
      <c r="AB231" s="3" t="s">
        <v>609</v>
      </c>
      <c r="AC231" s="3" t="s">
        <v>627</v>
      </c>
      <c r="AD231" s="9" t="s">
        <v>633</v>
      </c>
    </row>
    <row r="232" spans="1:30" ht="15" customHeight="1" x14ac:dyDescent="0.3">
      <c r="A232" s="8">
        <f t="shared" si="3"/>
        <v>230</v>
      </c>
      <c r="B232" s="3" t="s">
        <v>21</v>
      </c>
      <c r="C232" s="3" t="s">
        <v>237</v>
      </c>
      <c r="D232" s="3" t="s">
        <v>147</v>
      </c>
      <c r="E232" s="3" t="s">
        <v>415</v>
      </c>
      <c r="F232" s="3">
        <v>1303</v>
      </c>
      <c r="G232" s="4">
        <v>46241</v>
      </c>
      <c r="H232" s="4"/>
      <c r="I232" s="3" t="s">
        <v>335</v>
      </c>
      <c r="J232" s="3" t="s">
        <v>28</v>
      </c>
      <c r="K232" s="3">
        <v>20</v>
      </c>
      <c r="L232" s="3">
        <v>200</v>
      </c>
      <c r="M232" s="3" t="s">
        <v>32</v>
      </c>
      <c r="N232" s="4">
        <v>46246</v>
      </c>
      <c r="O232" s="4">
        <v>46247</v>
      </c>
      <c r="P232" s="3" t="s">
        <v>219</v>
      </c>
      <c r="Q232" s="3" t="s">
        <v>29</v>
      </c>
      <c r="R232" s="3" t="s">
        <v>26</v>
      </c>
      <c r="S232" s="3"/>
      <c r="T232" s="3"/>
      <c r="U232" s="3" t="s">
        <v>64</v>
      </c>
      <c r="V232" s="3">
        <v>709</v>
      </c>
      <c r="W232" s="3">
        <v>0</v>
      </c>
      <c r="X232" s="3" t="s">
        <v>97</v>
      </c>
      <c r="Y232" s="3" t="s">
        <v>97</v>
      </c>
      <c r="Z232" s="4">
        <v>46243</v>
      </c>
      <c r="AA232" s="3" t="s">
        <v>64</v>
      </c>
      <c r="AB232" s="3" t="s">
        <v>479</v>
      </c>
      <c r="AC232" s="3" t="s">
        <v>614</v>
      </c>
      <c r="AD232" s="9" t="s">
        <v>633</v>
      </c>
    </row>
    <row r="233" spans="1:30" ht="15" customHeight="1" x14ac:dyDescent="0.3">
      <c r="A233" s="8">
        <f t="shared" si="3"/>
        <v>231</v>
      </c>
      <c r="B233" s="3" t="s">
        <v>21</v>
      </c>
      <c r="C233" s="3" t="s">
        <v>221</v>
      </c>
      <c r="D233" s="3" t="s">
        <v>200</v>
      </c>
      <c r="E233" s="3" t="s">
        <v>222</v>
      </c>
      <c r="F233" s="3">
        <v>1493</v>
      </c>
      <c r="G233" s="4">
        <v>46241</v>
      </c>
      <c r="H233" s="4"/>
      <c r="I233" s="3" t="s">
        <v>31</v>
      </c>
      <c r="J233" s="3" t="s">
        <v>28</v>
      </c>
      <c r="K233" s="3">
        <v>6</v>
      </c>
      <c r="L233" s="3">
        <v>120</v>
      </c>
      <c r="M233" s="3" t="s">
        <v>32</v>
      </c>
      <c r="N233" s="4">
        <v>46249</v>
      </c>
      <c r="O233" s="4">
        <v>46246</v>
      </c>
      <c r="P233" s="3" t="s">
        <v>219</v>
      </c>
      <c r="Q233" s="3" t="s">
        <v>29</v>
      </c>
      <c r="R233" s="3" t="s">
        <v>26</v>
      </c>
      <c r="S233" s="3"/>
      <c r="T233" s="3"/>
      <c r="U233" s="3" t="s">
        <v>223</v>
      </c>
      <c r="V233" s="3">
        <v>709</v>
      </c>
      <c r="W233" s="3">
        <v>0</v>
      </c>
      <c r="X233" s="3" t="s">
        <v>97</v>
      </c>
      <c r="Y233" s="3" t="s">
        <v>97</v>
      </c>
      <c r="Z233" s="4">
        <v>46244</v>
      </c>
      <c r="AA233" s="3" t="s">
        <v>223</v>
      </c>
      <c r="AB233" s="3" t="s">
        <v>480</v>
      </c>
      <c r="AC233" s="3" t="s">
        <v>619</v>
      </c>
      <c r="AD233" s="9" t="s">
        <v>633</v>
      </c>
    </row>
    <row r="234" spans="1:30" ht="15" customHeight="1" x14ac:dyDescent="0.3">
      <c r="A234" s="8">
        <f t="shared" si="3"/>
        <v>232</v>
      </c>
      <c r="B234" s="3" t="s">
        <v>21</v>
      </c>
      <c r="C234" s="3" t="s">
        <v>416</v>
      </c>
      <c r="D234" s="3" t="s">
        <v>147</v>
      </c>
      <c r="E234" s="3" t="s">
        <v>418</v>
      </c>
      <c r="F234" s="3">
        <v>1304</v>
      </c>
      <c r="G234" s="4">
        <v>46241</v>
      </c>
      <c r="H234" s="4"/>
      <c r="I234" s="3" t="s">
        <v>335</v>
      </c>
      <c r="J234" s="3" t="s">
        <v>28</v>
      </c>
      <c r="K234" s="3">
        <v>30</v>
      </c>
      <c r="L234" s="3">
        <v>300</v>
      </c>
      <c r="M234" s="3" t="s">
        <v>32</v>
      </c>
      <c r="N234" s="4">
        <v>46246</v>
      </c>
      <c r="O234" s="4">
        <v>46247</v>
      </c>
      <c r="P234" s="3" t="s">
        <v>219</v>
      </c>
      <c r="Q234" s="3" t="s">
        <v>29</v>
      </c>
      <c r="R234" s="3" t="s">
        <v>26</v>
      </c>
      <c r="S234" s="3"/>
      <c r="T234" s="3"/>
      <c r="U234" s="3" t="s">
        <v>64</v>
      </c>
      <c r="V234" s="3">
        <v>709</v>
      </c>
      <c r="W234" s="3">
        <v>0</v>
      </c>
      <c r="X234" s="3" t="s">
        <v>97</v>
      </c>
      <c r="Y234" s="3" t="s">
        <v>97</v>
      </c>
      <c r="Z234" s="4">
        <v>46243</v>
      </c>
      <c r="AA234" s="3" t="s">
        <v>64</v>
      </c>
      <c r="AB234" s="3" t="s">
        <v>479</v>
      </c>
      <c r="AC234" s="3" t="s">
        <v>614</v>
      </c>
      <c r="AD234" s="9" t="s">
        <v>633</v>
      </c>
    </row>
    <row r="235" spans="1:30" ht="15" customHeight="1" x14ac:dyDescent="0.3">
      <c r="A235" s="8">
        <f t="shared" si="3"/>
        <v>233</v>
      </c>
      <c r="B235" s="3" t="s">
        <v>21</v>
      </c>
      <c r="C235" s="3" t="s">
        <v>409</v>
      </c>
      <c r="D235" s="3" t="s">
        <v>121</v>
      </c>
      <c r="E235" s="3" t="s">
        <v>420</v>
      </c>
      <c r="F235" s="3">
        <v>1394</v>
      </c>
      <c r="G235" s="4">
        <v>46246</v>
      </c>
      <c r="H235" s="4"/>
      <c r="I235" s="3" t="s">
        <v>335</v>
      </c>
      <c r="J235" s="3" t="s">
        <v>28</v>
      </c>
      <c r="K235" s="3">
        <v>25</v>
      </c>
      <c r="L235" s="3">
        <f>K235*20</f>
        <v>500</v>
      </c>
      <c r="M235" s="3" t="s">
        <v>32</v>
      </c>
      <c r="N235" s="4">
        <v>46262</v>
      </c>
      <c r="O235" s="4">
        <v>46255</v>
      </c>
      <c r="P235" s="3" t="s">
        <v>219</v>
      </c>
      <c r="Q235" s="3" t="s">
        <v>29</v>
      </c>
      <c r="R235" s="3" t="s">
        <v>26</v>
      </c>
      <c r="S235" s="3"/>
      <c r="T235" s="3"/>
      <c r="U235" s="3" t="s">
        <v>417</v>
      </c>
      <c r="V235" s="3">
        <v>709</v>
      </c>
      <c r="W235" s="3">
        <v>0</v>
      </c>
      <c r="X235" s="3" t="s">
        <v>97</v>
      </c>
      <c r="Y235" s="3" t="s">
        <v>97</v>
      </c>
      <c r="Z235" s="4">
        <v>46253</v>
      </c>
      <c r="AA235" s="3" t="s">
        <v>363</v>
      </c>
      <c r="AB235" s="3" t="s">
        <v>472</v>
      </c>
      <c r="AC235" s="3" t="s">
        <v>631</v>
      </c>
      <c r="AD235" s="9" t="s">
        <v>633</v>
      </c>
    </row>
    <row r="236" spans="1:30" ht="15" customHeight="1" x14ac:dyDescent="0.3">
      <c r="A236" s="8">
        <f t="shared" si="3"/>
        <v>234</v>
      </c>
      <c r="B236" s="3" t="s">
        <v>21</v>
      </c>
      <c r="C236" s="3" t="s">
        <v>409</v>
      </c>
      <c r="D236" s="3" t="s">
        <v>121</v>
      </c>
      <c r="E236" s="3" t="s">
        <v>420</v>
      </c>
      <c r="F236" s="3">
        <v>1394</v>
      </c>
      <c r="G236" s="4">
        <v>46246</v>
      </c>
      <c r="H236" s="4"/>
      <c r="I236" s="3" t="s">
        <v>335</v>
      </c>
      <c r="J236" s="3" t="s">
        <v>28</v>
      </c>
      <c r="K236" s="3">
        <v>3</v>
      </c>
      <c r="L236" s="3">
        <v>3</v>
      </c>
      <c r="M236" s="3" t="s">
        <v>32</v>
      </c>
      <c r="N236" s="4">
        <v>46262</v>
      </c>
      <c r="O236" s="4">
        <v>46255</v>
      </c>
      <c r="P236" s="3" t="s">
        <v>219</v>
      </c>
      <c r="Q236" s="3" t="s">
        <v>29</v>
      </c>
      <c r="R236" s="3" t="s">
        <v>26</v>
      </c>
      <c r="S236" s="3"/>
      <c r="T236" s="3"/>
      <c r="U236" s="3" t="s">
        <v>417</v>
      </c>
      <c r="V236" s="3">
        <v>709</v>
      </c>
      <c r="W236" s="3">
        <v>0</v>
      </c>
      <c r="X236" s="3" t="s">
        <v>97</v>
      </c>
      <c r="Y236" s="3" t="s">
        <v>97</v>
      </c>
      <c r="Z236" s="4">
        <v>46253</v>
      </c>
      <c r="AA236" s="3" t="s">
        <v>363</v>
      </c>
      <c r="AB236" s="3" t="s">
        <v>472</v>
      </c>
      <c r="AC236" s="3" t="s">
        <v>631</v>
      </c>
      <c r="AD236" s="9" t="s">
        <v>633</v>
      </c>
    </row>
    <row r="237" spans="1:30" ht="15" hidden="1" customHeight="1" x14ac:dyDescent="0.3">
      <c r="A237" s="8">
        <f t="shared" si="3"/>
        <v>235</v>
      </c>
      <c r="B237" s="3" t="s">
        <v>21</v>
      </c>
      <c r="C237" s="3" t="s">
        <v>421</v>
      </c>
      <c r="D237" s="3" t="s">
        <v>422</v>
      </c>
      <c r="E237" s="3" t="s">
        <v>423</v>
      </c>
      <c r="F237" s="3">
        <v>1396</v>
      </c>
      <c r="G237" s="4">
        <v>46246</v>
      </c>
      <c r="H237" s="4"/>
      <c r="I237" s="3" t="s">
        <v>31</v>
      </c>
      <c r="J237" s="3" t="s">
        <v>28</v>
      </c>
      <c r="K237" s="3">
        <v>12</v>
      </c>
      <c r="L237" s="3">
        <v>240</v>
      </c>
      <c r="M237" s="3" t="s">
        <v>32</v>
      </c>
      <c r="N237" s="3"/>
      <c r="O237" s="3"/>
      <c r="P237" s="3" t="s">
        <v>25</v>
      </c>
      <c r="Q237" s="3" t="s">
        <v>29</v>
      </c>
      <c r="R237" s="3" t="s">
        <v>26</v>
      </c>
      <c r="S237" s="3"/>
      <c r="T237" s="3"/>
      <c r="U237" s="3" t="s">
        <v>417</v>
      </c>
      <c r="V237" s="3">
        <v>709</v>
      </c>
      <c r="W237" s="3">
        <v>0</v>
      </c>
      <c r="X237" s="3" t="s">
        <v>25</v>
      </c>
      <c r="Y237" s="3" t="s">
        <v>25</v>
      </c>
      <c r="Z237" s="3"/>
      <c r="AA237" s="3"/>
      <c r="AB237" s="3"/>
      <c r="AC237" s="3"/>
      <c r="AD237" s="17" t="s">
        <v>652</v>
      </c>
    </row>
    <row r="238" spans="1:30" ht="15" customHeight="1" x14ac:dyDescent="0.3">
      <c r="A238" s="8">
        <f t="shared" si="3"/>
        <v>236</v>
      </c>
      <c r="B238" s="3" t="s">
        <v>21</v>
      </c>
      <c r="C238" s="3" t="s">
        <v>177</v>
      </c>
      <c r="D238" s="3" t="s">
        <v>111</v>
      </c>
      <c r="E238" s="3" t="s">
        <v>424</v>
      </c>
      <c r="F238" s="3">
        <v>1397</v>
      </c>
      <c r="G238" s="4">
        <v>46246</v>
      </c>
      <c r="H238" s="4"/>
      <c r="I238" s="3" t="s">
        <v>31</v>
      </c>
      <c r="J238" s="3" t="s">
        <v>28</v>
      </c>
      <c r="K238" s="3">
        <v>9</v>
      </c>
      <c r="L238" s="3">
        <v>180</v>
      </c>
      <c r="M238" s="3" t="s">
        <v>32</v>
      </c>
      <c r="N238" s="4">
        <v>46262</v>
      </c>
      <c r="O238" s="4">
        <v>46256</v>
      </c>
      <c r="P238" s="3" t="s">
        <v>219</v>
      </c>
      <c r="Q238" s="3" t="s">
        <v>29</v>
      </c>
      <c r="R238" s="3" t="s">
        <v>26</v>
      </c>
      <c r="S238" s="3"/>
      <c r="T238" s="3"/>
      <c r="U238" s="3" t="s">
        <v>417</v>
      </c>
      <c r="V238" s="3">
        <v>709</v>
      </c>
      <c r="W238" s="3">
        <v>0</v>
      </c>
      <c r="X238" s="3" t="s">
        <v>97</v>
      </c>
      <c r="Y238" s="3" t="s">
        <v>97</v>
      </c>
      <c r="Z238" s="4">
        <v>46253</v>
      </c>
      <c r="AA238" s="3" t="s">
        <v>597</v>
      </c>
      <c r="AB238" s="3" t="s">
        <v>609</v>
      </c>
      <c r="AC238" s="3" t="s">
        <v>627</v>
      </c>
      <c r="AD238" s="9" t="s">
        <v>633</v>
      </c>
    </row>
    <row r="239" spans="1:30" ht="15" hidden="1" customHeight="1" x14ac:dyDescent="0.3">
      <c r="A239" s="8">
        <f t="shared" si="3"/>
        <v>237</v>
      </c>
      <c r="B239" s="3" t="s">
        <v>21</v>
      </c>
      <c r="C239" s="3" t="s">
        <v>47</v>
      </c>
      <c r="D239" s="3" t="s">
        <v>48</v>
      </c>
      <c r="E239" s="3" t="s">
        <v>425</v>
      </c>
      <c r="F239" s="3">
        <v>1398</v>
      </c>
      <c r="G239" s="4">
        <v>46246</v>
      </c>
      <c r="H239" s="4"/>
      <c r="I239" s="3" t="s">
        <v>31</v>
      </c>
      <c r="J239" s="3" t="s">
        <v>28</v>
      </c>
      <c r="K239" s="3">
        <v>40</v>
      </c>
      <c r="L239" s="3">
        <v>400</v>
      </c>
      <c r="M239" s="3" t="s">
        <v>32</v>
      </c>
      <c r="N239" s="4">
        <v>46259</v>
      </c>
      <c r="O239" s="4">
        <v>46259</v>
      </c>
      <c r="P239" s="3" t="s">
        <v>637</v>
      </c>
      <c r="Q239" s="3" t="s">
        <v>29</v>
      </c>
      <c r="R239" s="3" t="s">
        <v>26</v>
      </c>
      <c r="S239" s="3"/>
      <c r="T239" s="3"/>
      <c r="U239" s="3" t="s">
        <v>417</v>
      </c>
      <c r="V239" s="3">
        <v>709</v>
      </c>
      <c r="W239" s="3">
        <v>0</v>
      </c>
      <c r="X239" s="3" t="s">
        <v>637</v>
      </c>
      <c r="Y239" s="3" t="s">
        <v>637</v>
      </c>
      <c r="Z239" s="4">
        <v>46259</v>
      </c>
      <c r="AA239" s="3" t="s">
        <v>638</v>
      </c>
      <c r="AB239" s="3" t="s">
        <v>639</v>
      </c>
      <c r="AC239" s="3"/>
      <c r="AD239" s="9" t="s">
        <v>643</v>
      </c>
    </row>
    <row r="240" spans="1:30" ht="15" customHeight="1" x14ac:dyDescent="0.3">
      <c r="A240" s="8">
        <f t="shared" si="3"/>
        <v>238</v>
      </c>
      <c r="B240" s="3" t="s">
        <v>21</v>
      </c>
      <c r="C240" s="3" t="s">
        <v>426</v>
      </c>
      <c r="D240" s="3" t="s">
        <v>427</v>
      </c>
      <c r="E240" s="3" t="s">
        <v>428</v>
      </c>
      <c r="F240" s="3">
        <v>1399</v>
      </c>
      <c r="G240" s="4">
        <v>46246</v>
      </c>
      <c r="H240" s="4"/>
      <c r="I240" s="3" t="s">
        <v>31</v>
      </c>
      <c r="J240" s="3" t="s">
        <v>28</v>
      </c>
      <c r="K240" s="3">
        <v>25</v>
      </c>
      <c r="L240" s="3">
        <v>500</v>
      </c>
      <c r="M240" s="3" t="s">
        <v>32</v>
      </c>
      <c r="N240" s="4">
        <v>46255</v>
      </c>
      <c r="O240" s="4">
        <v>46254</v>
      </c>
      <c r="P240" s="3" t="s">
        <v>219</v>
      </c>
      <c r="Q240" s="3" t="s">
        <v>29</v>
      </c>
      <c r="R240" s="3" t="s">
        <v>26</v>
      </c>
      <c r="S240" s="3"/>
      <c r="T240" s="3"/>
      <c r="U240" s="3" t="s">
        <v>417</v>
      </c>
      <c r="V240" s="3">
        <v>709</v>
      </c>
      <c r="W240" s="3">
        <v>0</v>
      </c>
      <c r="X240" s="3" t="s">
        <v>97</v>
      </c>
      <c r="Y240" s="3" t="s">
        <v>97</v>
      </c>
      <c r="Z240" s="4">
        <v>46253</v>
      </c>
      <c r="AA240" s="3" t="s">
        <v>597</v>
      </c>
      <c r="AB240" s="3" t="s">
        <v>609</v>
      </c>
      <c r="AC240" s="3" t="s">
        <v>627</v>
      </c>
      <c r="AD240" s="9" t="s">
        <v>633</v>
      </c>
    </row>
    <row r="241" spans="1:30" ht="15" customHeight="1" x14ac:dyDescent="0.3">
      <c r="A241" s="8">
        <f t="shared" si="3"/>
        <v>239</v>
      </c>
      <c r="B241" s="3" t="s">
        <v>21</v>
      </c>
      <c r="C241" s="3" t="s">
        <v>426</v>
      </c>
      <c r="D241" s="3" t="s">
        <v>427</v>
      </c>
      <c r="E241" s="3" t="s">
        <v>429</v>
      </c>
      <c r="F241" s="3">
        <v>1400</v>
      </c>
      <c r="G241" s="4">
        <v>46246</v>
      </c>
      <c r="H241" s="4"/>
      <c r="I241" s="3" t="s">
        <v>31</v>
      </c>
      <c r="J241" s="3" t="s">
        <v>28</v>
      </c>
      <c r="K241" s="3">
        <v>9</v>
      </c>
      <c r="L241" s="3">
        <v>180</v>
      </c>
      <c r="M241" s="3" t="s">
        <v>32</v>
      </c>
      <c r="N241" s="4">
        <v>46255</v>
      </c>
      <c r="O241" s="4">
        <v>46254</v>
      </c>
      <c r="P241" s="3" t="s">
        <v>219</v>
      </c>
      <c r="Q241" s="3" t="s">
        <v>29</v>
      </c>
      <c r="R241" s="3" t="s">
        <v>26</v>
      </c>
      <c r="S241" s="3"/>
      <c r="T241" s="3"/>
      <c r="U241" s="3" t="s">
        <v>417</v>
      </c>
      <c r="V241" s="3">
        <v>709</v>
      </c>
      <c r="W241" s="3">
        <v>0</v>
      </c>
      <c r="X241" s="3" t="s">
        <v>97</v>
      </c>
      <c r="Y241" s="3" t="s">
        <v>97</v>
      </c>
      <c r="Z241" s="4">
        <v>46253</v>
      </c>
      <c r="AA241" s="3" t="s">
        <v>597</v>
      </c>
      <c r="AB241" s="3" t="s">
        <v>609</v>
      </c>
      <c r="AC241" s="3" t="s">
        <v>627</v>
      </c>
      <c r="AD241" s="9" t="s">
        <v>633</v>
      </c>
    </row>
    <row r="242" spans="1:30" ht="15" customHeight="1" x14ac:dyDescent="0.3">
      <c r="A242" s="8">
        <f t="shared" si="3"/>
        <v>240</v>
      </c>
      <c r="B242" s="3" t="s">
        <v>21</v>
      </c>
      <c r="C242" s="3" t="s">
        <v>430</v>
      </c>
      <c r="D242" s="3" t="s">
        <v>441</v>
      </c>
      <c r="E242" s="3" t="s">
        <v>431</v>
      </c>
      <c r="F242" s="3">
        <v>1551</v>
      </c>
      <c r="G242" s="4">
        <v>46246</v>
      </c>
      <c r="H242" s="4"/>
      <c r="I242" s="3" t="s">
        <v>31</v>
      </c>
      <c r="J242" s="3" t="s">
        <v>28</v>
      </c>
      <c r="K242" s="3">
        <v>12</v>
      </c>
      <c r="L242" s="3">
        <v>240</v>
      </c>
      <c r="M242" s="3" t="s">
        <v>32</v>
      </c>
      <c r="N242" s="4">
        <v>46254</v>
      </c>
      <c r="O242" s="4">
        <v>46254</v>
      </c>
      <c r="P242" s="3" t="s">
        <v>219</v>
      </c>
      <c r="Q242" s="3" t="s">
        <v>29</v>
      </c>
      <c r="R242" s="3" t="s">
        <v>26</v>
      </c>
      <c r="S242" s="3"/>
      <c r="T242" s="3"/>
      <c r="U242" s="3" t="s">
        <v>417</v>
      </c>
      <c r="V242" s="3">
        <v>709</v>
      </c>
      <c r="W242" s="3">
        <v>0</v>
      </c>
      <c r="X242" s="3" t="s">
        <v>97</v>
      </c>
      <c r="Y242" s="3" t="s">
        <v>97</v>
      </c>
      <c r="Z242" s="4">
        <v>46253</v>
      </c>
      <c r="AA242" s="3" t="s">
        <v>585</v>
      </c>
      <c r="AB242" s="3" t="s">
        <v>586</v>
      </c>
      <c r="AC242" s="3" t="s">
        <v>621</v>
      </c>
      <c r="AD242" s="9" t="s">
        <v>633</v>
      </c>
    </row>
    <row r="243" spans="1:30" ht="15" hidden="1" customHeight="1" x14ac:dyDescent="0.3">
      <c r="A243" s="8">
        <f t="shared" si="3"/>
        <v>241</v>
      </c>
      <c r="B243" s="3" t="s">
        <v>21</v>
      </c>
      <c r="C243" s="3" t="s">
        <v>432</v>
      </c>
      <c r="D243" s="3" t="s">
        <v>93</v>
      </c>
      <c r="E243" s="3" t="s">
        <v>433</v>
      </c>
      <c r="F243" s="3">
        <v>1552</v>
      </c>
      <c r="G243" s="4">
        <v>46246</v>
      </c>
      <c r="H243" s="4"/>
      <c r="I243" s="3" t="s">
        <v>31</v>
      </c>
      <c r="J243" s="3" t="s">
        <v>28</v>
      </c>
      <c r="K243" s="3">
        <v>25</v>
      </c>
      <c r="L243" s="3">
        <v>500</v>
      </c>
      <c r="M243" s="3" t="s">
        <v>32</v>
      </c>
      <c r="N243" s="4">
        <v>46262</v>
      </c>
      <c r="O243" s="4">
        <v>46254</v>
      </c>
      <c r="P243" s="3" t="s">
        <v>646</v>
      </c>
      <c r="Q243" s="3" t="s">
        <v>29</v>
      </c>
      <c r="R243" s="3" t="s">
        <v>26</v>
      </c>
      <c r="S243" s="3"/>
      <c r="T243" s="3"/>
      <c r="U243" s="3" t="s">
        <v>417</v>
      </c>
      <c r="V243" s="3">
        <v>709</v>
      </c>
      <c r="W243" s="3">
        <v>0</v>
      </c>
      <c r="X243" s="3" t="s">
        <v>97</v>
      </c>
      <c r="Y243" s="3" t="s">
        <v>97</v>
      </c>
      <c r="Z243" s="4">
        <v>46253</v>
      </c>
      <c r="AA243" s="3" t="s">
        <v>597</v>
      </c>
      <c r="AB243" s="3" t="s">
        <v>609</v>
      </c>
      <c r="AC243" s="3" t="s">
        <v>627</v>
      </c>
      <c r="AD243" s="17" t="s">
        <v>652</v>
      </c>
    </row>
    <row r="244" spans="1:30" ht="15" hidden="1" customHeight="1" x14ac:dyDescent="0.3">
      <c r="A244" s="8">
        <f t="shared" si="3"/>
        <v>242</v>
      </c>
      <c r="B244" s="3" t="s">
        <v>21</v>
      </c>
      <c r="C244" s="3" t="s">
        <v>432</v>
      </c>
      <c r="D244" s="3" t="s">
        <v>93</v>
      </c>
      <c r="E244" s="3" t="s">
        <v>434</v>
      </c>
      <c r="F244" s="3">
        <v>1553</v>
      </c>
      <c r="G244" s="4">
        <v>46246</v>
      </c>
      <c r="H244" s="4"/>
      <c r="I244" s="3" t="s">
        <v>31</v>
      </c>
      <c r="J244" s="3" t="s">
        <v>28</v>
      </c>
      <c r="K244" s="3">
        <v>6</v>
      </c>
      <c r="L244" s="3">
        <v>120</v>
      </c>
      <c r="M244" s="3" t="s">
        <v>32</v>
      </c>
      <c r="N244" s="4">
        <v>46262</v>
      </c>
      <c r="O244" s="4">
        <v>46254</v>
      </c>
      <c r="P244" s="3" t="s">
        <v>646</v>
      </c>
      <c r="Q244" s="3" t="s">
        <v>29</v>
      </c>
      <c r="R244" s="3" t="s">
        <v>26</v>
      </c>
      <c r="S244" s="3"/>
      <c r="T244" s="3"/>
      <c r="U244" s="3" t="s">
        <v>417</v>
      </c>
      <c r="V244" s="3">
        <v>709</v>
      </c>
      <c r="W244" s="3">
        <v>0</v>
      </c>
      <c r="X244" s="3" t="s">
        <v>97</v>
      </c>
      <c r="Y244" s="3" t="s">
        <v>97</v>
      </c>
      <c r="Z244" s="4">
        <v>46253</v>
      </c>
      <c r="AA244" s="3" t="s">
        <v>597</v>
      </c>
      <c r="AB244" s="3" t="s">
        <v>609</v>
      </c>
      <c r="AC244" s="3" t="s">
        <v>627</v>
      </c>
      <c r="AD244" s="17" t="s">
        <v>652</v>
      </c>
    </row>
    <row r="245" spans="1:30" x14ac:dyDescent="0.3">
      <c r="A245" s="8">
        <f t="shared" si="3"/>
        <v>243</v>
      </c>
      <c r="B245" s="3" t="s">
        <v>21</v>
      </c>
      <c r="C245" s="3" t="s">
        <v>311</v>
      </c>
      <c r="D245" s="3" t="s">
        <v>152</v>
      </c>
      <c r="E245" s="3" t="s">
        <v>435</v>
      </c>
      <c r="F245" s="3">
        <v>1554</v>
      </c>
      <c r="G245" s="4">
        <v>46246</v>
      </c>
      <c r="H245" s="4"/>
      <c r="I245" s="3" t="s">
        <v>31</v>
      </c>
      <c r="J245" s="3" t="s">
        <v>28</v>
      </c>
      <c r="K245" s="3">
        <v>40</v>
      </c>
      <c r="L245" s="3">
        <v>400</v>
      </c>
      <c r="M245" s="3" t="s">
        <v>32</v>
      </c>
      <c r="N245" s="4">
        <v>46254</v>
      </c>
      <c r="O245" s="4">
        <v>46254</v>
      </c>
      <c r="P245" s="3" t="s">
        <v>219</v>
      </c>
      <c r="Q245" s="3" t="s">
        <v>29</v>
      </c>
      <c r="R245" s="3" t="s">
        <v>26</v>
      </c>
      <c r="S245" s="3"/>
      <c r="T245" s="3"/>
      <c r="U245" s="3" t="s">
        <v>417</v>
      </c>
      <c r="V245" s="3">
        <v>709</v>
      </c>
      <c r="W245" s="3">
        <v>0</v>
      </c>
      <c r="X245" s="3" t="s">
        <v>97</v>
      </c>
      <c r="Y245" s="3" t="s">
        <v>97</v>
      </c>
      <c r="Z245" s="4">
        <v>46254</v>
      </c>
      <c r="AA245" s="3" t="s">
        <v>584</v>
      </c>
      <c r="AB245" s="3" t="s">
        <v>583</v>
      </c>
      <c r="AC245" s="3" t="s">
        <v>611</v>
      </c>
      <c r="AD245" s="9" t="s">
        <v>633</v>
      </c>
    </row>
    <row r="246" spans="1:30" x14ac:dyDescent="0.3">
      <c r="A246" s="8">
        <f t="shared" si="3"/>
        <v>244</v>
      </c>
      <c r="B246" s="3" t="s">
        <v>21</v>
      </c>
      <c r="C246" s="3" t="s">
        <v>311</v>
      </c>
      <c r="D246" s="3" t="s">
        <v>152</v>
      </c>
      <c r="E246" s="3" t="s">
        <v>436</v>
      </c>
      <c r="F246" s="3">
        <v>1555</v>
      </c>
      <c r="G246" s="4">
        <v>46246</v>
      </c>
      <c r="H246" s="4"/>
      <c r="I246" s="3" t="s">
        <v>31</v>
      </c>
      <c r="J246" s="3" t="s">
        <v>28</v>
      </c>
      <c r="K246" s="3">
        <v>9</v>
      </c>
      <c r="L246" s="3">
        <v>180</v>
      </c>
      <c r="M246" s="3" t="s">
        <v>32</v>
      </c>
      <c r="N246" s="4">
        <v>46254</v>
      </c>
      <c r="O246" s="4">
        <v>46254</v>
      </c>
      <c r="P246" s="3" t="s">
        <v>219</v>
      </c>
      <c r="Q246" s="3" t="s">
        <v>29</v>
      </c>
      <c r="R246" s="3" t="s">
        <v>26</v>
      </c>
      <c r="S246" s="3"/>
      <c r="T246" s="3"/>
      <c r="U246" s="3" t="s">
        <v>417</v>
      </c>
      <c r="V246" s="3">
        <v>709</v>
      </c>
      <c r="W246" s="3">
        <v>0</v>
      </c>
      <c r="X246" s="3" t="s">
        <v>97</v>
      </c>
      <c r="Y246" s="3" t="s">
        <v>97</v>
      </c>
      <c r="Z246" s="4">
        <v>46254</v>
      </c>
      <c r="AA246" s="3" t="s">
        <v>584</v>
      </c>
      <c r="AB246" s="3" t="s">
        <v>583</v>
      </c>
      <c r="AC246" s="3" t="s">
        <v>611</v>
      </c>
      <c r="AD246" s="9" t="s">
        <v>633</v>
      </c>
    </row>
    <row r="247" spans="1:30" x14ac:dyDescent="0.3">
      <c r="A247" s="8">
        <f t="shared" si="3"/>
        <v>245</v>
      </c>
      <c r="B247" s="3" t="s">
        <v>21</v>
      </c>
      <c r="C247" s="3" t="s">
        <v>311</v>
      </c>
      <c r="D247" s="3" t="s">
        <v>152</v>
      </c>
      <c r="E247" s="3" t="s">
        <v>437</v>
      </c>
      <c r="F247" s="3">
        <v>1556</v>
      </c>
      <c r="G247" s="4">
        <v>46246</v>
      </c>
      <c r="H247" s="4"/>
      <c r="I247" s="3" t="s">
        <v>31</v>
      </c>
      <c r="J247" s="3" t="s">
        <v>28</v>
      </c>
      <c r="K247" s="3">
        <v>8</v>
      </c>
      <c r="L247" s="3">
        <v>96</v>
      </c>
      <c r="M247" s="3" t="s">
        <v>32</v>
      </c>
      <c r="N247" s="4">
        <v>46254</v>
      </c>
      <c r="O247" s="4">
        <v>46254</v>
      </c>
      <c r="P247" s="3" t="s">
        <v>219</v>
      </c>
      <c r="Q247" s="3" t="s">
        <v>29</v>
      </c>
      <c r="R247" s="3" t="s">
        <v>26</v>
      </c>
      <c r="S247" s="3"/>
      <c r="T247" s="3"/>
      <c r="U247" s="3" t="s">
        <v>417</v>
      </c>
      <c r="V247" s="3">
        <v>709</v>
      </c>
      <c r="W247" s="3">
        <v>0</v>
      </c>
      <c r="X247" s="3" t="s">
        <v>97</v>
      </c>
      <c r="Y247" s="3" t="s">
        <v>97</v>
      </c>
      <c r="Z247" s="4">
        <v>46254</v>
      </c>
      <c r="AA247" s="3" t="s">
        <v>584</v>
      </c>
      <c r="AB247" s="3" t="s">
        <v>583</v>
      </c>
      <c r="AC247" s="3" t="s">
        <v>611</v>
      </c>
      <c r="AD247" s="9" t="s">
        <v>633</v>
      </c>
    </row>
    <row r="248" spans="1:30" x14ac:dyDescent="0.3">
      <c r="A248" s="8">
        <f t="shared" si="3"/>
        <v>246</v>
      </c>
      <c r="B248" s="3" t="s">
        <v>21</v>
      </c>
      <c r="C248" s="3" t="s">
        <v>72</v>
      </c>
      <c r="D248" s="3" t="s">
        <v>438</v>
      </c>
      <c r="E248" s="3" t="s">
        <v>439</v>
      </c>
      <c r="F248" s="3">
        <v>1557</v>
      </c>
      <c r="G248" s="4">
        <v>46246</v>
      </c>
      <c r="H248" s="4"/>
      <c r="I248" s="3" t="s">
        <v>31</v>
      </c>
      <c r="J248" s="3" t="s">
        <v>28</v>
      </c>
      <c r="K248" s="3">
        <v>100</v>
      </c>
      <c r="L248" s="3">
        <v>2000</v>
      </c>
      <c r="M248" s="3" t="s">
        <v>32</v>
      </c>
      <c r="N248" s="4">
        <v>46255</v>
      </c>
      <c r="O248" s="4">
        <v>46254</v>
      </c>
      <c r="P248" s="3" t="s">
        <v>219</v>
      </c>
      <c r="Q248" s="3" t="s">
        <v>29</v>
      </c>
      <c r="R248" s="3" t="s">
        <v>26</v>
      </c>
      <c r="S248" s="3"/>
      <c r="T248" s="3"/>
      <c r="U248" s="3" t="s">
        <v>417</v>
      </c>
      <c r="V248" s="3">
        <v>709</v>
      </c>
      <c r="W248" s="3">
        <v>0</v>
      </c>
      <c r="X248" s="3" t="s">
        <v>97</v>
      </c>
      <c r="Y248" s="3" t="s">
        <v>97</v>
      </c>
      <c r="Z248" s="4">
        <v>46253</v>
      </c>
      <c r="AA248" s="3" t="s">
        <v>597</v>
      </c>
      <c r="AB248" s="3" t="s">
        <v>609</v>
      </c>
      <c r="AC248" s="3" t="s">
        <v>627</v>
      </c>
      <c r="AD248" s="9" t="s">
        <v>633</v>
      </c>
    </row>
    <row r="249" spans="1:30" x14ac:dyDescent="0.3">
      <c r="A249" s="8">
        <f t="shared" si="3"/>
        <v>247</v>
      </c>
      <c r="B249" s="3" t="s">
        <v>21</v>
      </c>
      <c r="C249" s="3" t="s">
        <v>440</v>
      </c>
      <c r="D249" s="3" t="s">
        <v>441</v>
      </c>
      <c r="E249" s="3" t="s">
        <v>442</v>
      </c>
      <c r="F249" s="3">
        <v>1558</v>
      </c>
      <c r="G249" s="4">
        <v>46246</v>
      </c>
      <c r="H249" s="4"/>
      <c r="I249" s="3" t="s">
        <v>31</v>
      </c>
      <c r="J249" s="3" t="s">
        <v>28</v>
      </c>
      <c r="K249" s="3">
        <v>25</v>
      </c>
      <c r="L249" s="3">
        <v>500</v>
      </c>
      <c r="M249" s="3" t="s">
        <v>32</v>
      </c>
      <c r="N249" s="4">
        <v>46254</v>
      </c>
      <c r="O249" s="4">
        <v>46254</v>
      </c>
      <c r="P249" s="3" t="s">
        <v>219</v>
      </c>
      <c r="Q249" s="3" t="s">
        <v>29</v>
      </c>
      <c r="R249" s="3" t="s">
        <v>26</v>
      </c>
      <c r="S249" s="3"/>
      <c r="T249" s="3"/>
      <c r="U249" s="3" t="s">
        <v>417</v>
      </c>
      <c r="V249" s="3">
        <v>709</v>
      </c>
      <c r="W249" s="3">
        <v>0</v>
      </c>
      <c r="X249" s="3" t="s">
        <v>97</v>
      </c>
      <c r="Y249" s="3" t="s">
        <v>97</v>
      </c>
      <c r="Z249" s="4">
        <v>46253</v>
      </c>
      <c r="AA249" s="3" t="s">
        <v>585</v>
      </c>
      <c r="AB249" s="3" t="s">
        <v>586</v>
      </c>
      <c r="AC249" s="3" t="s">
        <v>621</v>
      </c>
      <c r="AD249" s="9" t="s">
        <v>633</v>
      </c>
    </row>
    <row r="250" spans="1:30" x14ac:dyDescent="0.3">
      <c r="A250" s="8">
        <f t="shared" si="3"/>
        <v>248</v>
      </c>
      <c r="B250" s="3" t="s">
        <v>21</v>
      </c>
      <c r="C250" s="3" t="s">
        <v>440</v>
      </c>
      <c r="D250" s="3" t="s">
        <v>441</v>
      </c>
      <c r="E250" s="3" t="s">
        <v>443</v>
      </c>
      <c r="F250" s="3">
        <v>1559</v>
      </c>
      <c r="G250" s="4">
        <v>46246</v>
      </c>
      <c r="H250" s="4"/>
      <c r="I250" s="3" t="s">
        <v>31</v>
      </c>
      <c r="J250" s="3" t="s">
        <v>28</v>
      </c>
      <c r="K250" s="3">
        <v>9</v>
      </c>
      <c r="L250" s="3">
        <v>180</v>
      </c>
      <c r="M250" s="3" t="s">
        <v>32</v>
      </c>
      <c r="N250" s="4">
        <v>46254</v>
      </c>
      <c r="O250" s="4">
        <v>46254</v>
      </c>
      <c r="P250" s="3" t="s">
        <v>219</v>
      </c>
      <c r="Q250" s="3" t="s">
        <v>29</v>
      </c>
      <c r="R250" s="3" t="s">
        <v>26</v>
      </c>
      <c r="S250" s="3"/>
      <c r="T250" s="3"/>
      <c r="U250" s="3" t="s">
        <v>417</v>
      </c>
      <c r="V250" s="3">
        <v>709</v>
      </c>
      <c r="W250" s="3">
        <v>0</v>
      </c>
      <c r="X250" s="3" t="s">
        <v>97</v>
      </c>
      <c r="Y250" s="3" t="s">
        <v>97</v>
      </c>
      <c r="Z250" s="4">
        <v>46253</v>
      </c>
      <c r="AA250" s="3" t="s">
        <v>585</v>
      </c>
      <c r="AB250" s="3" t="s">
        <v>586</v>
      </c>
      <c r="AC250" s="3" t="s">
        <v>621</v>
      </c>
      <c r="AD250" s="9" t="s">
        <v>633</v>
      </c>
    </row>
    <row r="251" spans="1:30" hidden="1" x14ac:dyDescent="0.3">
      <c r="A251" s="8">
        <f t="shared" si="3"/>
        <v>249</v>
      </c>
      <c r="B251" s="3" t="s">
        <v>21</v>
      </c>
      <c r="C251" s="3" t="s">
        <v>444</v>
      </c>
      <c r="D251" s="3" t="s">
        <v>214</v>
      </c>
      <c r="E251" s="3" t="s">
        <v>445</v>
      </c>
      <c r="F251" s="3">
        <v>1560</v>
      </c>
      <c r="G251" s="4">
        <v>46246</v>
      </c>
      <c r="H251" s="4"/>
      <c r="I251" s="3" t="s">
        <v>31</v>
      </c>
      <c r="J251" s="3" t="s">
        <v>28</v>
      </c>
      <c r="K251" s="3">
        <v>15</v>
      </c>
      <c r="L251" s="3">
        <v>300</v>
      </c>
      <c r="M251" s="3" t="s">
        <v>32</v>
      </c>
      <c r="N251" s="4">
        <v>46258</v>
      </c>
      <c r="O251" s="4">
        <v>46256</v>
      </c>
      <c r="P251" s="3" t="s">
        <v>650</v>
      </c>
      <c r="Q251" s="3" t="s">
        <v>29</v>
      </c>
      <c r="R251" s="3" t="s">
        <v>26</v>
      </c>
      <c r="S251" s="3"/>
      <c r="T251" s="3"/>
      <c r="U251" s="3" t="s">
        <v>417</v>
      </c>
      <c r="V251" s="3">
        <v>709</v>
      </c>
      <c r="W251" s="3">
        <v>0</v>
      </c>
      <c r="X251" s="3" t="s">
        <v>650</v>
      </c>
      <c r="Y251" s="3" t="s">
        <v>650</v>
      </c>
      <c r="Z251" s="4"/>
      <c r="AA251" s="3" t="s">
        <v>585</v>
      </c>
      <c r="AB251" s="3"/>
      <c r="AC251" s="3"/>
      <c r="AD251" s="3" t="s">
        <v>650</v>
      </c>
    </row>
    <row r="252" spans="1:30" x14ac:dyDescent="0.3">
      <c r="A252" s="8">
        <f t="shared" si="3"/>
        <v>250</v>
      </c>
      <c r="B252" s="3" t="s">
        <v>21</v>
      </c>
      <c r="C252" s="3" t="s">
        <v>446</v>
      </c>
      <c r="D252" s="3" t="s">
        <v>21</v>
      </c>
      <c r="E252" s="3" t="s">
        <v>447</v>
      </c>
      <c r="F252" s="3">
        <v>1561</v>
      </c>
      <c r="G252" s="4">
        <v>46246</v>
      </c>
      <c r="H252" s="4"/>
      <c r="I252" s="3" t="s">
        <v>336</v>
      </c>
      <c r="J252" s="3" t="s">
        <v>28</v>
      </c>
      <c r="K252" s="3">
        <v>5</v>
      </c>
      <c r="L252" s="3">
        <v>100</v>
      </c>
      <c r="M252" s="3" t="s">
        <v>32</v>
      </c>
      <c r="N252" s="4">
        <v>46254</v>
      </c>
      <c r="O252" s="4">
        <v>46252</v>
      </c>
      <c r="P252" s="3" t="s">
        <v>219</v>
      </c>
      <c r="Q252" s="3" t="s">
        <v>29</v>
      </c>
      <c r="R252" s="3" t="s">
        <v>26</v>
      </c>
      <c r="S252" s="3"/>
      <c r="T252" s="3"/>
      <c r="U252" s="3" t="s">
        <v>417</v>
      </c>
      <c r="V252" s="3">
        <v>709</v>
      </c>
      <c r="W252" s="3">
        <v>0</v>
      </c>
      <c r="X252" s="3" t="s">
        <v>97</v>
      </c>
      <c r="Y252" s="3" t="s">
        <v>97</v>
      </c>
      <c r="Z252" s="4">
        <v>46250</v>
      </c>
      <c r="AA252" s="3" t="s">
        <v>308</v>
      </c>
      <c r="AB252" s="3" t="s">
        <v>472</v>
      </c>
      <c r="AC252" s="3" t="s">
        <v>629</v>
      </c>
      <c r="AD252" s="9" t="s">
        <v>633</v>
      </c>
    </row>
    <row r="253" spans="1:30" x14ac:dyDescent="0.3">
      <c r="A253" s="8">
        <f t="shared" si="3"/>
        <v>251</v>
      </c>
      <c r="B253" s="3" t="s">
        <v>21</v>
      </c>
      <c r="C253" s="3" t="s">
        <v>446</v>
      </c>
      <c r="D253" s="3" t="s">
        <v>21</v>
      </c>
      <c r="E253" s="3" t="s">
        <v>447</v>
      </c>
      <c r="F253" s="3">
        <v>1561</v>
      </c>
      <c r="G253" s="4">
        <v>46246</v>
      </c>
      <c r="H253" s="4"/>
      <c r="I253" s="3" t="s">
        <v>336</v>
      </c>
      <c r="J253" s="3" t="s">
        <v>28</v>
      </c>
      <c r="K253" s="3">
        <v>20</v>
      </c>
      <c r="L253" s="3">
        <v>400</v>
      </c>
      <c r="M253" s="3" t="s">
        <v>32</v>
      </c>
      <c r="N253" s="4">
        <v>46254</v>
      </c>
      <c r="O253" s="4">
        <v>46252</v>
      </c>
      <c r="P253" s="3" t="s">
        <v>219</v>
      </c>
      <c r="Q253" s="3" t="s">
        <v>29</v>
      </c>
      <c r="R253" s="3" t="s">
        <v>26</v>
      </c>
      <c r="S253" s="3"/>
      <c r="T253" s="3"/>
      <c r="U253" s="3" t="s">
        <v>417</v>
      </c>
      <c r="V253" s="3">
        <v>709</v>
      </c>
      <c r="W253" s="3">
        <v>0</v>
      </c>
      <c r="X253" s="3" t="s">
        <v>97</v>
      </c>
      <c r="Y253" s="3" t="s">
        <v>97</v>
      </c>
      <c r="Z253" s="4">
        <v>46250</v>
      </c>
      <c r="AA253" s="3" t="s">
        <v>308</v>
      </c>
      <c r="AB253" s="3" t="s">
        <v>472</v>
      </c>
      <c r="AC253" s="3" t="s">
        <v>629</v>
      </c>
      <c r="AD253" s="9" t="s">
        <v>633</v>
      </c>
    </row>
    <row r="254" spans="1:30" hidden="1" x14ac:dyDescent="0.3">
      <c r="A254" s="8">
        <f t="shared" si="3"/>
        <v>252</v>
      </c>
      <c r="B254" s="3" t="s">
        <v>21</v>
      </c>
      <c r="C254" s="3" t="s">
        <v>448</v>
      </c>
      <c r="D254" s="3" t="s">
        <v>449</v>
      </c>
      <c r="E254" s="3" t="s">
        <v>450</v>
      </c>
      <c r="F254" s="3">
        <v>1562</v>
      </c>
      <c r="G254" s="4">
        <v>46246</v>
      </c>
      <c r="H254" s="4"/>
      <c r="I254" s="3" t="s">
        <v>335</v>
      </c>
      <c r="J254" s="3" t="s">
        <v>28</v>
      </c>
      <c r="K254" s="3">
        <v>25</v>
      </c>
      <c r="L254" s="3">
        <f>K254*25</f>
        <v>625</v>
      </c>
      <c r="M254" s="3" t="s">
        <v>32</v>
      </c>
      <c r="N254" s="4">
        <v>46259</v>
      </c>
      <c r="O254" s="4">
        <v>46259</v>
      </c>
      <c r="P254" s="3" t="s">
        <v>637</v>
      </c>
      <c r="Q254" s="3" t="s">
        <v>29</v>
      </c>
      <c r="R254" s="3" t="s">
        <v>26</v>
      </c>
      <c r="S254" s="3"/>
      <c r="T254" s="3"/>
      <c r="U254" s="3" t="s">
        <v>417</v>
      </c>
      <c r="V254" s="3">
        <v>709</v>
      </c>
      <c r="W254" s="3">
        <v>0</v>
      </c>
      <c r="X254" s="3" t="s">
        <v>637</v>
      </c>
      <c r="Y254" s="3" t="s">
        <v>637</v>
      </c>
      <c r="Z254" s="4">
        <v>46259</v>
      </c>
      <c r="AA254" s="3" t="s">
        <v>638</v>
      </c>
      <c r="AB254" s="3" t="s">
        <v>639</v>
      </c>
      <c r="AC254" s="3"/>
      <c r="AD254" s="9" t="s">
        <v>643</v>
      </c>
    </row>
    <row r="255" spans="1:30" hidden="1" x14ac:dyDescent="0.3">
      <c r="A255" s="8">
        <f t="shared" si="3"/>
        <v>253</v>
      </c>
      <c r="B255" s="3" t="s">
        <v>21</v>
      </c>
      <c r="C255" s="3" t="s">
        <v>448</v>
      </c>
      <c r="D255" s="3" t="s">
        <v>449</v>
      </c>
      <c r="E255" s="3" t="s">
        <v>450</v>
      </c>
      <c r="F255" s="3">
        <v>1562</v>
      </c>
      <c r="G255" s="4">
        <v>46246</v>
      </c>
      <c r="H255" s="4"/>
      <c r="I255" s="3" t="s">
        <v>335</v>
      </c>
      <c r="J255" s="3" t="s">
        <v>28</v>
      </c>
      <c r="K255" s="3">
        <v>1</v>
      </c>
      <c r="L255" s="3">
        <v>1</v>
      </c>
      <c r="M255" s="3" t="s">
        <v>32</v>
      </c>
      <c r="N255" s="4">
        <v>46259</v>
      </c>
      <c r="O255" s="4">
        <v>46259</v>
      </c>
      <c r="P255" s="3" t="s">
        <v>637</v>
      </c>
      <c r="Q255" s="3" t="s">
        <v>29</v>
      </c>
      <c r="R255" s="3" t="s">
        <v>26</v>
      </c>
      <c r="S255" s="3"/>
      <c r="T255" s="3"/>
      <c r="U255" s="3" t="s">
        <v>417</v>
      </c>
      <c r="V255" s="3">
        <v>709</v>
      </c>
      <c r="W255" s="3">
        <v>0</v>
      </c>
      <c r="X255" s="3" t="s">
        <v>637</v>
      </c>
      <c r="Y255" s="3" t="s">
        <v>637</v>
      </c>
      <c r="Z255" s="4">
        <v>46259</v>
      </c>
      <c r="AA255" s="3" t="s">
        <v>638</v>
      </c>
      <c r="AB255" s="3" t="s">
        <v>639</v>
      </c>
      <c r="AC255" s="3"/>
      <c r="AD255" s="9" t="s">
        <v>643</v>
      </c>
    </row>
    <row r="256" spans="1:30" x14ac:dyDescent="0.3">
      <c r="A256" s="8">
        <f t="shared" si="3"/>
        <v>254</v>
      </c>
      <c r="B256" s="3" t="s">
        <v>21</v>
      </c>
      <c r="C256" s="3" t="s">
        <v>451</v>
      </c>
      <c r="D256" s="3" t="s">
        <v>452</v>
      </c>
      <c r="E256" s="3" t="s">
        <v>453</v>
      </c>
      <c r="F256" s="3">
        <v>1563</v>
      </c>
      <c r="G256" s="4">
        <v>46246</v>
      </c>
      <c r="H256" s="4"/>
      <c r="I256" s="3" t="s">
        <v>335</v>
      </c>
      <c r="J256" s="3" t="s">
        <v>28</v>
      </c>
      <c r="K256" s="3">
        <v>25</v>
      </c>
      <c r="L256" s="3">
        <f>K256*25</f>
        <v>625</v>
      </c>
      <c r="M256" s="3" t="s">
        <v>32</v>
      </c>
      <c r="N256" s="4">
        <v>46256</v>
      </c>
      <c r="O256" s="4">
        <v>46262</v>
      </c>
      <c r="P256" s="3" t="s">
        <v>219</v>
      </c>
      <c r="Q256" s="3" t="s">
        <v>29</v>
      </c>
      <c r="R256" s="3" t="s">
        <v>26</v>
      </c>
      <c r="S256" s="3"/>
      <c r="T256" s="3"/>
      <c r="U256" s="3" t="s">
        <v>417</v>
      </c>
      <c r="V256" s="3">
        <v>709</v>
      </c>
      <c r="W256" s="3">
        <v>0</v>
      </c>
      <c r="X256" s="3" t="s">
        <v>97</v>
      </c>
      <c r="Y256" s="3" t="s">
        <v>97</v>
      </c>
      <c r="Z256" s="4">
        <v>46254</v>
      </c>
      <c r="AA256" s="3" t="s">
        <v>591</v>
      </c>
      <c r="AB256" s="3" t="s">
        <v>592</v>
      </c>
      <c r="AC256" s="3" t="s">
        <v>620</v>
      </c>
      <c r="AD256" s="9" t="s">
        <v>633</v>
      </c>
    </row>
    <row r="257" spans="1:30" x14ac:dyDescent="0.3">
      <c r="A257" s="8">
        <f t="shared" si="3"/>
        <v>255</v>
      </c>
      <c r="B257" s="3" t="s">
        <v>21</v>
      </c>
      <c r="C257" s="3" t="s">
        <v>451</v>
      </c>
      <c r="D257" s="3" t="s">
        <v>452</v>
      </c>
      <c r="E257" s="3" t="s">
        <v>453</v>
      </c>
      <c r="F257" s="3">
        <v>1563</v>
      </c>
      <c r="G257" s="4">
        <v>46246</v>
      </c>
      <c r="H257" s="4"/>
      <c r="I257" s="3" t="s">
        <v>335</v>
      </c>
      <c r="J257" s="3" t="s">
        <v>28</v>
      </c>
      <c r="K257" s="3">
        <v>1</v>
      </c>
      <c r="L257" s="3">
        <v>1</v>
      </c>
      <c r="M257" s="3" t="s">
        <v>32</v>
      </c>
      <c r="N257" s="4">
        <v>46256</v>
      </c>
      <c r="O257" s="4">
        <v>46262</v>
      </c>
      <c r="P257" s="3" t="s">
        <v>219</v>
      </c>
      <c r="Q257" s="3" t="s">
        <v>29</v>
      </c>
      <c r="R257" s="3" t="s">
        <v>26</v>
      </c>
      <c r="S257" s="3"/>
      <c r="T257" s="3"/>
      <c r="U257" s="3" t="s">
        <v>417</v>
      </c>
      <c r="V257" s="3">
        <v>709</v>
      </c>
      <c r="W257" s="3">
        <v>0</v>
      </c>
      <c r="X257" s="3" t="s">
        <v>97</v>
      </c>
      <c r="Y257" s="3" t="s">
        <v>97</v>
      </c>
      <c r="Z257" s="4">
        <v>46254</v>
      </c>
      <c r="AA257" s="3" t="s">
        <v>591</v>
      </c>
      <c r="AB257" s="3" t="s">
        <v>592</v>
      </c>
      <c r="AC257" s="3" t="s">
        <v>620</v>
      </c>
      <c r="AD257" s="9" t="s">
        <v>633</v>
      </c>
    </row>
    <row r="258" spans="1:30" x14ac:dyDescent="0.3">
      <c r="A258" s="8">
        <f t="shared" si="3"/>
        <v>256</v>
      </c>
      <c r="B258" s="3" t="s">
        <v>21</v>
      </c>
      <c r="C258" s="3" t="s">
        <v>454</v>
      </c>
      <c r="D258" s="3" t="s">
        <v>452</v>
      </c>
      <c r="E258" s="3" t="s">
        <v>455</v>
      </c>
      <c r="F258" s="3">
        <v>1564</v>
      </c>
      <c r="G258" s="4">
        <v>46246</v>
      </c>
      <c r="H258" s="4"/>
      <c r="I258" s="3" t="s">
        <v>335</v>
      </c>
      <c r="J258" s="3" t="s">
        <v>28</v>
      </c>
      <c r="K258" s="3">
        <v>25</v>
      </c>
      <c r="L258" s="3">
        <f>K258*25</f>
        <v>625</v>
      </c>
      <c r="M258" s="3" t="s">
        <v>32</v>
      </c>
      <c r="N258" s="4">
        <v>46256</v>
      </c>
      <c r="O258" s="4">
        <v>46262</v>
      </c>
      <c r="P258" s="3" t="s">
        <v>219</v>
      </c>
      <c r="Q258" s="3" t="s">
        <v>29</v>
      </c>
      <c r="R258" s="3" t="s">
        <v>26</v>
      </c>
      <c r="S258" s="3"/>
      <c r="T258" s="3"/>
      <c r="U258" s="3" t="s">
        <v>417</v>
      </c>
      <c r="V258" s="3">
        <v>709</v>
      </c>
      <c r="W258" s="3">
        <v>0</v>
      </c>
      <c r="X258" s="3" t="s">
        <v>97</v>
      </c>
      <c r="Y258" s="3" t="s">
        <v>97</v>
      </c>
      <c r="Z258" s="4">
        <v>46254</v>
      </c>
      <c r="AA258" s="3" t="s">
        <v>591</v>
      </c>
      <c r="AB258" s="3" t="s">
        <v>592</v>
      </c>
      <c r="AC258" s="3" t="s">
        <v>620</v>
      </c>
      <c r="AD258" s="9" t="s">
        <v>633</v>
      </c>
    </row>
    <row r="259" spans="1:30" x14ac:dyDescent="0.3">
      <c r="A259" s="8">
        <f t="shared" si="3"/>
        <v>257</v>
      </c>
      <c r="B259" s="3" t="s">
        <v>21</v>
      </c>
      <c r="C259" s="3" t="s">
        <v>454</v>
      </c>
      <c r="D259" s="3" t="s">
        <v>452</v>
      </c>
      <c r="E259" s="3" t="s">
        <v>455</v>
      </c>
      <c r="F259" s="3">
        <v>1564</v>
      </c>
      <c r="G259" s="4">
        <v>46246</v>
      </c>
      <c r="H259" s="4"/>
      <c r="I259" s="3" t="s">
        <v>335</v>
      </c>
      <c r="J259" s="3" t="s">
        <v>28</v>
      </c>
      <c r="K259" s="3">
        <v>1</v>
      </c>
      <c r="L259" s="3">
        <v>1</v>
      </c>
      <c r="M259" s="3" t="s">
        <v>32</v>
      </c>
      <c r="N259" s="4">
        <v>46256</v>
      </c>
      <c r="O259" s="4">
        <v>46262</v>
      </c>
      <c r="P259" s="3" t="s">
        <v>219</v>
      </c>
      <c r="Q259" s="3" t="s">
        <v>29</v>
      </c>
      <c r="R259" s="3" t="s">
        <v>26</v>
      </c>
      <c r="S259" s="3"/>
      <c r="T259" s="3"/>
      <c r="U259" s="3" t="s">
        <v>417</v>
      </c>
      <c r="V259" s="3">
        <v>709</v>
      </c>
      <c r="W259" s="3">
        <v>0</v>
      </c>
      <c r="X259" s="3" t="s">
        <v>97</v>
      </c>
      <c r="Y259" s="3" t="s">
        <v>97</v>
      </c>
      <c r="Z259" s="4">
        <v>46254</v>
      </c>
      <c r="AA259" s="3" t="s">
        <v>591</v>
      </c>
      <c r="AB259" s="3" t="s">
        <v>592</v>
      </c>
      <c r="AC259" s="3" t="s">
        <v>620</v>
      </c>
      <c r="AD259" s="9" t="s">
        <v>633</v>
      </c>
    </row>
    <row r="260" spans="1:30" x14ac:dyDescent="0.3">
      <c r="A260" s="8">
        <f t="shared" si="3"/>
        <v>258</v>
      </c>
      <c r="B260" s="3" t="s">
        <v>21</v>
      </c>
      <c r="C260" s="3" t="s">
        <v>456</v>
      </c>
      <c r="D260" s="3" t="s">
        <v>121</v>
      </c>
      <c r="E260" s="3" t="s">
        <v>457</v>
      </c>
      <c r="F260" s="3">
        <v>1565</v>
      </c>
      <c r="G260" s="4">
        <v>46246</v>
      </c>
      <c r="H260" s="4"/>
      <c r="I260" s="3" t="s">
        <v>335</v>
      </c>
      <c r="J260" s="3" t="s">
        <v>28</v>
      </c>
      <c r="K260" s="3">
        <v>25</v>
      </c>
      <c r="L260" s="3">
        <f>K260*25</f>
        <v>625</v>
      </c>
      <c r="M260" s="3" t="s">
        <v>32</v>
      </c>
      <c r="N260" s="4">
        <v>46262</v>
      </c>
      <c r="O260" s="4">
        <v>46255</v>
      </c>
      <c r="P260" s="3" t="s">
        <v>219</v>
      </c>
      <c r="Q260" s="3" t="s">
        <v>29</v>
      </c>
      <c r="R260" s="3" t="s">
        <v>26</v>
      </c>
      <c r="S260" s="3"/>
      <c r="T260" s="3"/>
      <c r="U260" s="3" t="s">
        <v>417</v>
      </c>
      <c r="V260" s="3">
        <v>709</v>
      </c>
      <c r="W260" s="3">
        <v>0</v>
      </c>
      <c r="X260" s="3" t="s">
        <v>97</v>
      </c>
      <c r="Y260" s="3" t="s">
        <v>97</v>
      </c>
      <c r="Z260" s="4">
        <v>46253</v>
      </c>
      <c r="AA260" s="3" t="s">
        <v>363</v>
      </c>
      <c r="AB260" s="3" t="s">
        <v>472</v>
      </c>
      <c r="AC260" s="3" t="s">
        <v>631</v>
      </c>
      <c r="AD260" s="9" t="s">
        <v>633</v>
      </c>
    </row>
    <row r="261" spans="1:30" x14ac:dyDescent="0.3">
      <c r="A261" s="8">
        <f t="shared" ref="A261:A324" si="4">A260+1</f>
        <v>259</v>
      </c>
      <c r="B261" s="3" t="s">
        <v>21</v>
      </c>
      <c r="C261" s="3" t="s">
        <v>456</v>
      </c>
      <c r="D261" s="3" t="s">
        <v>121</v>
      </c>
      <c r="E261" s="3" t="s">
        <v>457</v>
      </c>
      <c r="F261" s="3">
        <v>1565</v>
      </c>
      <c r="G261" s="4">
        <v>46246</v>
      </c>
      <c r="H261" s="4"/>
      <c r="I261" s="3" t="s">
        <v>335</v>
      </c>
      <c r="J261" s="3" t="s">
        <v>28</v>
      </c>
      <c r="K261" s="3">
        <v>1</v>
      </c>
      <c r="L261" s="3">
        <v>1</v>
      </c>
      <c r="M261" s="3" t="s">
        <v>32</v>
      </c>
      <c r="N261" s="4">
        <v>46262</v>
      </c>
      <c r="O261" s="4">
        <v>46255</v>
      </c>
      <c r="P261" s="3" t="s">
        <v>219</v>
      </c>
      <c r="Q261" s="3" t="s">
        <v>29</v>
      </c>
      <c r="R261" s="3" t="s">
        <v>26</v>
      </c>
      <c r="S261" s="3"/>
      <c r="T261" s="3"/>
      <c r="U261" s="3" t="s">
        <v>417</v>
      </c>
      <c r="V261" s="3">
        <v>709</v>
      </c>
      <c r="W261" s="3">
        <v>0</v>
      </c>
      <c r="X261" s="3" t="s">
        <v>97</v>
      </c>
      <c r="Y261" s="3" t="s">
        <v>97</v>
      </c>
      <c r="Z261" s="4">
        <v>46253</v>
      </c>
      <c r="AA261" s="3" t="s">
        <v>363</v>
      </c>
      <c r="AB261" s="3" t="s">
        <v>472</v>
      </c>
      <c r="AC261" s="3" t="s">
        <v>631</v>
      </c>
      <c r="AD261" s="9" t="s">
        <v>633</v>
      </c>
    </row>
    <row r="262" spans="1:30" x14ac:dyDescent="0.3">
      <c r="A262" s="8">
        <f t="shared" si="4"/>
        <v>260</v>
      </c>
      <c r="B262" s="3" t="s">
        <v>21</v>
      </c>
      <c r="C262" s="3" t="s">
        <v>458</v>
      </c>
      <c r="D262" s="3" t="s">
        <v>459</v>
      </c>
      <c r="E262" s="3" t="s">
        <v>460</v>
      </c>
      <c r="F262" s="3">
        <v>1566</v>
      </c>
      <c r="G262" s="4">
        <v>46246</v>
      </c>
      <c r="H262" s="4"/>
      <c r="I262" s="3" t="s">
        <v>335</v>
      </c>
      <c r="J262" s="3" t="s">
        <v>28</v>
      </c>
      <c r="K262" s="3">
        <v>25</v>
      </c>
      <c r="L262" s="3">
        <f>K262*25</f>
        <v>625</v>
      </c>
      <c r="M262" s="3" t="s">
        <v>32</v>
      </c>
      <c r="N262" s="4">
        <v>46262</v>
      </c>
      <c r="O262" s="4">
        <v>46256</v>
      </c>
      <c r="P262" s="3" t="s">
        <v>219</v>
      </c>
      <c r="Q262" s="3" t="s">
        <v>29</v>
      </c>
      <c r="R262" s="3" t="s">
        <v>26</v>
      </c>
      <c r="S262" s="3"/>
      <c r="T262" s="3"/>
      <c r="U262" s="3" t="s">
        <v>417</v>
      </c>
      <c r="V262" s="3">
        <v>709</v>
      </c>
      <c r="W262" s="3">
        <v>0</v>
      </c>
      <c r="X262" s="3" t="s">
        <v>97</v>
      </c>
      <c r="Y262" s="3" t="s">
        <v>97</v>
      </c>
      <c r="Z262" s="4">
        <v>46253</v>
      </c>
      <c r="AA262" s="3" t="s">
        <v>363</v>
      </c>
      <c r="AB262" s="3" t="s">
        <v>472</v>
      </c>
      <c r="AC262" s="3" t="s">
        <v>631</v>
      </c>
      <c r="AD262" s="9" t="s">
        <v>633</v>
      </c>
    </row>
    <row r="263" spans="1:30" x14ac:dyDescent="0.3">
      <c r="A263" s="8">
        <f t="shared" si="4"/>
        <v>261</v>
      </c>
      <c r="B263" s="3" t="s">
        <v>21</v>
      </c>
      <c r="C263" s="3" t="s">
        <v>458</v>
      </c>
      <c r="D263" s="3" t="s">
        <v>459</v>
      </c>
      <c r="E263" s="3" t="s">
        <v>460</v>
      </c>
      <c r="F263" s="3">
        <v>1566</v>
      </c>
      <c r="G263" s="4">
        <v>46246</v>
      </c>
      <c r="H263" s="4"/>
      <c r="I263" s="3" t="s">
        <v>336</v>
      </c>
      <c r="J263" s="3" t="s">
        <v>28</v>
      </c>
      <c r="K263" s="3">
        <v>5</v>
      </c>
      <c r="L263" s="3">
        <v>20</v>
      </c>
      <c r="M263" s="3" t="s">
        <v>32</v>
      </c>
      <c r="N263" s="4">
        <v>46262</v>
      </c>
      <c r="O263" s="4">
        <v>46256</v>
      </c>
      <c r="P263" s="3" t="s">
        <v>219</v>
      </c>
      <c r="Q263" s="3" t="s">
        <v>29</v>
      </c>
      <c r="R263" s="3" t="s">
        <v>26</v>
      </c>
      <c r="S263" s="3"/>
      <c r="T263" s="3"/>
      <c r="U263" s="3" t="s">
        <v>417</v>
      </c>
      <c r="V263" s="3">
        <v>709</v>
      </c>
      <c r="W263" s="3">
        <v>0</v>
      </c>
      <c r="X263" s="3" t="s">
        <v>97</v>
      </c>
      <c r="Y263" s="3" t="s">
        <v>97</v>
      </c>
      <c r="Z263" s="4">
        <v>46253</v>
      </c>
      <c r="AA263" s="3" t="s">
        <v>363</v>
      </c>
      <c r="AB263" s="3" t="s">
        <v>472</v>
      </c>
      <c r="AC263" s="3" t="s">
        <v>631</v>
      </c>
      <c r="AD263" s="9" t="s">
        <v>633</v>
      </c>
    </row>
    <row r="264" spans="1:30" x14ac:dyDescent="0.3">
      <c r="A264" s="8">
        <f t="shared" si="4"/>
        <v>262</v>
      </c>
      <c r="B264" s="3" t="s">
        <v>21</v>
      </c>
      <c r="C264" s="3" t="s">
        <v>458</v>
      </c>
      <c r="D264" s="3" t="s">
        <v>459</v>
      </c>
      <c r="E264" s="3" t="s">
        <v>460</v>
      </c>
      <c r="F264" s="3">
        <v>1566</v>
      </c>
      <c r="G264" s="4">
        <v>46246</v>
      </c>
      <c r="H264" s="4"/>
      <c r="I264" s="3" t="s">
        <v>335</v>
      </c>
      <c r="J264" s="3" t="s">
        <v>28</v>
      </c>
      <c r="K264" s="3">
        <v>1</v>
      </c>
      <c r="L264" s="3">
        <v>1</v>
      </c>
      <c r="M264" s="3" t="s">
        <v>32</v>
      </c>
      <c r="N264" s="4">
        <v>46262</v>
      </c>
      <c r="O264" s="4">
        <v>46258</v>
      </c>
      <c r="P264" s="3" t="s">
        <v>219</v>
      </c>
      <c r="Q264" s="3" t="s">
        <v>29</v>
      </c>
      <c r="R264" s="3" t="s">
        <v>26</v>
      </c>
      <c r="S264" s="3"/>
      <c r="T264" s="3"/>
      <c r="U264" s="3" t="s">
        <v>417</v>
      </c>
      <c r="V264" s="3">
        <v>709</v>
      </c>
      <c r="W264" s="3">
        <v>0</v>
      </c>
      <c r="X264" s="3" t="s">
        <v>97</v>
      </c>
      <c r="Y264" s="3" t="s">
        <v>97</v>
      </c>
      <c r="Z264" s="4">
        <v>46253</v>
      </c>
      <c r="AA264" s="3" t="s">
        <v>363</v>
      </c>
      <c r="AB264" s="3" t="s">
        <v>472</v>
      </c>
      <c r="AC264" s="3" t="s">
        <v>631</v>
      </c>
      <c r="AD264" s="9" t="s">
        <v>633</v>
      </c>
    </row>
    <row r="265" spans="1:30" x14ac:dyDescent="0.3">
      <c r="A265" s="8">
        <f t="shared" si="4"/>
        <v>263</v>
      </c>
      <c r="B265" s="3" t="s">
        <v>21</v>
      </c>
      <c r="C265" s="3" t="s">
        <v>386</v>
      </c>
      <c r="D265" s="3" t="s">
        <v>461</v>
      </c>
      <c r="E265" s="3">
        <v>716287012</v>
      </c>
      <c r="F265" s="3">
        <v>1576</v>
      </c>
      <c r="G265" s="4">
        <v>46246</v>
      </c>
      <c r="H265" s="4"/>
      <c r="I265" s="3" t="s">
        <v>462</v>
      </c>
      <c r="J265" s="3" t="s">
        <v>28</v>
      </c>
      <c r="K265" s="3">
        <v>50</v>
      </c>
      <c r="L265" s="3">
        <v>500</v>
      </c>
      <c r="M265" s="3" t="s">
        <v>32</v>
      </c>
      <c r="N265" s="4">
        <v>46256</v>
      </c>
      <c r="O265" s="4">
        <v>46262</v>
      </c>
      <c r="P265" s="3" t="s">
        <v>219</v>
      </c>
      <c r="Q265" s="3" t="s">
        <v>29</v>
      </c>
      <c r="R265" s="3" t="s">
        <v>26</v>
      </c>
      <c r="S265" s="3"/>
      <c r="T265" s="3"/>
      <c r="U265" s="3" t="s">
        <v>64</v>
      </c>
      <c r="V265" s="3">
        <v>709</v>
      </c>
      <c r="W265" s="3">
        <v>0</v>
      </c>
      <c r="X265" s="3" t="s">
        <v>97</v>
      </c>
      <c r="Y265" s="3" t="s">
        <v>97</v>
      </c>
      <c r="Z265" s="4">
        <v>46254</v>
      </c>
      <c r="AA265" s="3" t="s">
        <v>591</v>
      </c>
      <c r="AB265" s="3" t="s">
        <v>592</v>
      </c>
      <c r="AC265" s="3" t="s">
        <v>620</v>
      </c>
      <c r="AD265" s="9" t="s">
        <v>633</v>
      </c>
    </row>
    <row r="266" spans="1:30" x14ac:dyDescent="0.3">
      <c r="A266" s="8">
        <f t="shared" si="4"/>
        <v>264</v>
      </c>
      <c r="B266" s="3" t="s">
        <v>21</v>
      </c>
      <c r="C266" s="3" t="s">
        <v>463</v>
      </c>
      <c r="D266" s="3" t="s">
        <v>464</v>
      </c>
      <c r="E266" s="3">
        <v>716287134</v>
      </c>
      <c r="F266" s="3">
        <v>1577</v>
      </c>
      <c r="G266" s="4">
        <v>46246</v>
      </c>
      <c r="H266" s="4"/>
      <c r="I266" s="3" t="s">
        <v>462</v>
      </c>
      <c r="J266" s="3" t="s">
        <v>28</v>
      </c>
      <c r="K266" s="3">
        <v>10</v>
      </c>
      <c r="L266" s="3">
        <v>100</v>
      </c>
      <c r="M266" s="3" t="s">
        <v>32</v>
      </c>
      <c r="N266" s="4">
        <v>46256</v>
      </c>
      <c r="O266" s="4">
        <v>46258</v>
      </c>
      <c r="P266" s="3" t="s">
        <v>219</v>
      </c>
      <c r="Q266" s="3" t="s">
        <v>29</v>
      </c>
      <c r="R266" s="3" t="s">
        <v>26</v>
      </c>
      <c r="S266" s="3"/>
      <c r="T266" s="3"/>
      <c r="U266" s="3" t="s">
        <v>64</v>
      </c>
      <c r="V266" s="3">
        <v>709</v>
      </c>
      <c r="W266" s="3">
        <v>0</v>
      </c>
      <c r="X266" s="3" t="s">
        <v>97</v>
      </c>
      <c r="Y266" s="3" t="s">
        <v>97</v>
      </c>
      <c r="Z266" s="4">
        <v>46255</v>
      </c>
      <c r="AA266" s="3" t="s">
        <v>585</v>
      </c>
      <c r="AB266" s="3"/>
      <c r="AC266" s="3"/>
      <c r="AD266" s="9" t="s">
        <v>633</v>
      </c>
    </row>
    <row r="267" spans="1:30" hidden="1" x14ac:dyDescent="0.3">
      <c r="A267" s="8">
        <f t="shared" si="4"/>
        <v>265</v>
      </c>
      <c r="B267" s="3" t="s">
        <v>21</v>
      </c>
      <c r="C267" s="3" t="s">
        <v>176</v>
      </c>
      <c r="D267" s="3" t="s">
        <v>465</v>
      </c>
      <c r="E267" s="3">
        <v>716287004</v>
      </c>
      <c r="F267" s="3">
        <v>1578</v>
      </c>
      <c r="G267" s="4">
        <v>46246</v>
      </c>
      <c r="H267" s="4"/>
      <c r="I267" s="3" t="s">
        <v>462</v>
      </c>
      <c r="J267" s="3" t="s">
        <v>28</v>
      </c>
      <c r="K267" s="3">
        <v>100</v>
      </c>
      <c r="L267" s="3">
        <v>1000</v>
      </c>
      <c r="M267" s="3" t="s">
        <v>32</v>
      </c>
      <c r="N267" s="4">
        <v>46259</v>
      </c>
      <c r="O267" s="4">
        <v>46259</v>
      </c>
      <c r="P267" s="3" t="s">
        <v>637</v>
      </c>
      <c r="Q267" s="3" t="s">
        <v>29</v>
      </c>
      <c r="R267" s="3" t="s">
        <v>26</v>
      </c>
      <c r="S267" s="3"/>
      <c r="T267" s="3"/>
      <c r="U267" s="3" t="s">
        <v>64</v>
      </c>
      <c r="V267" s="3">
        <v>709</v>
      </c>
      <c r="W267" s="3">
        <v>0</v>
      </c>
      <c r="X267" s="3" t="s">
        <v>637</v>
      </c>
      <c r="Y267" s="3" t="s">
        <v>637</v>
      </c>
      <c r="Z267" s="4">
        <v>46259</v>
      </c>
      <c r="AA267" s="3" t="s">
        <v>638</v>
      </c>
      <c r="AB267" s="3" t="s">
        <v>639</v>
      </c>
      <c r="AC267" s="3"/>
      <c r="AD267" s="9" t="s">
        <v>643</v>
      </c>
    </row>
    <row r="268" spans="1:30" x14ac:dyDescent="0.3">
      <c r="A268" s="8">
        <f t="shared" si="4"/>
        <v>266</v>
      </c>
      <c r="B268" s="3" t="s">
        <v>21</v>
      </c>
      <c r="C268" s="3" t="s">
        <v>473</v>
      </c>
      <c r="D268" s="3" t="s">
        <v>304</v>
      </c>
      <c r="E268" s="3" t="s">
        <v>476</v>
      </c>
      <c r="F268" s="18">
        <v>1589</v>
      </c>
      <c r="G268" s="4">
        <v>46247</v>
      </c>
      <c r="H268" s="4"/>
      <c r="I268" s="3" t="s">
        <v>34</v>
      </c>
      <c r="J268" s="3" t="s">
        <v>28</v>
      </c>
      <c r="K268" s="3">
        <v>20</v>
      </c>
      <c r="L268" s="3">
        <v>200</v>
      </c>
      <c r="M268" s="3" t="s">
        <v>32</v>
      </c>
      <c r="N268" s="4">
        <v>46249</v>
      </c>
      <c r="O268" s="4">
        <v>46252</v>
      </c>
      <c r="P268" s="3" t="s">
        <v>219</v>
      </c>
      <c r="Q268" s="3" t="s">
        <v>29</v>
      </c>
      <c r="R268" s="3" t="s">
        <v>26</v>
      </c>
      <c r="S268" s="3"/>
      <c r="T268" s="3"/>
      <c r="U268" s="3" t="s">
        <v>155</v>
      </c>
      <c r="V268" s="3">
        <v>709</v>
      </c>
      <c r="W268" s="3">
        <v>0</v>
      </c>
      <c r="X268" s="3" t="s">
        <v>97</v>
      </c>
      <c r="Y268" s="3" t="s">
        <v>97</v>
      </c>
      <c r="Z268" s="4">
        <v>46249</v>
      </c>
      <c r="AA268" s="5" t="s">
        <v>155</v>
      </c>
      <c r="AB268" s="3" t="s">
        <v>469</v>
      </c>
      <c r="AC268" s="3"/>
      <c r="AD268" s="9" t="s">
        <v>633</v>
      </c>
    </row>
    <row r="269" spans="1:30" x14ac:dyDescent="0.3">
      <c r="A269" s="8">
        <f t="shared" si="4"/>
        <v>267</v>
      </c>
      <c r="B269" s="3" t="s">
        <v>21</v>
      </c>
      <c r="C269" s="3" t="s">
        <v>474</v>
      </c>
      <c r="D269" s="3" t="s">
        <v>214</v>
      </c>
      <c r="E269" s="3" t="s">
        <v>475</v>
      </c>
      <c r="F269" s="18">
        <v>1587</v>
      </c>
      <c r="G269" s="4">
        <v>46247</v>
      </c>
      <c r="H269" s="4"/>
      <c r="I269" s="3" t="s">
        <v>34</v>
      </c>
      <c r="J269" s="3" t="s">
        <v>28</v>
      </c>
      <c r="K269" s="3">
        <v>200</v>
      </c>
      <c r="L269" s="3">
        <v>2000</v>
      </c>
      <c r="M269" s="3" t="s">
        <v>32</v>
      </c>
      <c r="N269" s="4">
        <v>46249</v>
      </c>
      <c r="O269" s="4">
        <v>46252</v>
      </c>
      <c r="P269" s="3" t="s">
        <v>219</v>
      </c>
      <c r="Q269" s="3" t="s">
        <v>29</v>
      </c>
      <c r="R269" s="3" t="s">
        <v>26</v>
      </c>
      <c r="S269" s="3"/>
      <c r="T269" s="3"/>
      <c r="U269" s="3" t="s">
        <v>155</v>
      </c>
      <c r="V269" s="3">
        <v>709</v>
      </c>
      <c r="W269" s="3">
        <v>0</v>
      </c>
      <c r="X269" s="3" t="s">
        <v>97</v>
      </c>
      <c r="Y269" s="3" t="s">
        <v>97</v>
      </c>
      <c r="Z269" s="4">
        <v>46249</v>
      </c>
      <c r="AA269" s="5" t="s">
        <v>155</v>
      </c>
      <c r="AB269" s="3" t="s">
        <v>469</v>
      </c>
      <c r="AC269" s="3"/>
      <c r="AD269" s="9" t="s">
        <v>633</v>
      </c>
    </row>
    <row r="270" spans="1:30" x14ac:dyDescent="0.3">
      <c r="A270" s="8">
        <f t="shared" si="4"/>
        <v>268</v>
      </c>
      <c r="B270" s="3" t="s">
        <v>21</v>
      </c>
      <c r="C270" s="3" t="s">
        <v>474</v>
      </c>
      <c r="D270" s="3" t="s">
        <v>214</v>
      </c>
      <c r="E270" s="3" t="s">
        <v>477</v>
      </c>
      <c r="F270" s="18">
        <v>1586</v>
      </c>
      <c r="G270" s="4">
        <v>46247</v>
      </c>
      <c r="H270" s="4"/>
      <c r="I270" s="3" t="s">
        <v>31</v>
      </c>
      <c r="J270" s="3" t="s">
        <v>28</v>
      </c>
      <c r="K270" s="3">
        <v>9</v>
      </c>
      <c r="L270" s="3">
        <f>K270*20</f>
        <v>180</v>
      </c>
      <c r="M270" s="3" t="s">
        <v>32</v>
      </c>
      <c r="N270" s="4">
        <v>46249</v>
      </c>
      <c r="O270" s="4">
        <v>46252</v>
      </c>
      <c r="P270" s="3" t="s">
        <v>219</v>
      </c>
      <c r="Q270" s="3" t="s">
        <v>29</v>
      </c>
      <c r="R270" s="3" t="s">
        <v>26</v>
      </c>
      <c r="S270" s="3"/>
      <c r="T270" s="3"/>
      <c r="U270" s="3" t="s">
        <v>155</v>
      </c>
      <c r="V270" s="3">
        <v>709</v>
      </c>
      <c r="W270" s="3">
        <v>0</v>
      </c>
      <c r="X270" s="3" t="s">
        <v>97</v>
      </c>
      <c r="Y270" s="3" t="s">
        <v>97</v>
      </c>
      <c r="Z270" s="4">
        <v>46249</v>
      </c>
      <c r="AA270" s="5" t="s">
        <v>155</v>
      </c>
      <c r="AB270" s="3" t="s">
        <v>469</v>
      </c>
      <c r="AC270" s="3"/>
      <c r="AD270" s="9" t="s">
        <v>633</v>
      </c>
    </row>
    <row r="271" spans="1:30" x14ac:dyDescent="0.3">
      <c r="A271" s="8">
        <f t="shared" si="4"/>
        <v>269</v>
      </c>
      <c r="B271" s="3" t="s">
        <v>21</v>
      </c>
      <c r="C271" s="3" t="s">
        <v>474</v>
      </c>
      <c r="D271" s="3" t="s">
        <v>214</v>
      </c>
      <c r="E271" s="3" t="s">
        <v>478</v>
      </c>
      <c r="F271" s="18">
        <v>1588</v>
      </c>
      <c r="G271" s="4">
        <v>46247</v>
      </c>
      <c r="H271" s="4"/>
      <c r="I271" s="3" t="s">
        <v>31</v>
      </c>
      <c r="J271" s="3" t="s">
        <v>28</v>
      </c>
      <c r="K271" s="3">
        <v>45</v>
      </c>
      <c r="L271" s="3">
        <f>K271*20</f>
        <v>900</v>
      </c>
      <c r="M271" s="3" t="s">
        <v>32</v>
      </c>
      <c r="N271" s="4">
        <v>46249</v>
      </c>
      <c r="O271" s="4">
        <v>46252</v>
      </c>
      <c r="P271" s="3" t="s">
        <v>219</v>
      </c>
      <c r="Q271" s="3" t="s">
        <v>29</v>
      </c>
      <c r="R271" s="3" t="s">
        <v>26</v>
      </c>
      <c r="S271" s="3"/>
      <c r="T271" s="3"/>
      <c r="U271" s="3" t="s">
        <v>155</v>
      </c>
      <c r="V271" s="3">
        <v>709</v>
      </c>
      <c r="W271" s="3">
        <v>0</v>
      </c>
      <c r="X271" s="3" t="s">
        <v>97</v>
      </c>
      <c r="Y271" s="3" t="s">
        <v>97</v>
      </c>
      <c r="Z271" s="4">
        <v>46249</v>
      </c>
      <c r="AA271" s="5" t="s">
        <v>155</v>
      </c>
      <c r="AB271" s="3" t="s">
        <v>469</v>
      </c>
      <c r="AC271" s="3"/>
      <c r="AD271" s="9" t="s">
        <v>633</v>
      </c>
    </row>
    <row r="272" spans="1:30" x14ac:dyDescent="0.3">
      <c r="A272" s="8">
        <f t="shared" si="4"/>
        <v>270</v>
      </c>
      <c r="B272" s="3" t="s">
        <v>21</v>
      </c>
      <c r="C272" s="3" t="s">
        <v>482</v>
      </c>
      <c r="D272" s="3" t="s">
        <v>45</v>
      </c>
      <c r="E272" s="3" t="s">
        <v>483</v>
      </c>
      <c r="F272" s="18">
        <v>1579</v>
      </c>
      <c r="G272" s="4">
        <v>46246</v>
      </c>
      <c r="H272" s="4"/>
      <c r="I272" s="3" t="s">
        <v>31</v>
      </c>
      <c r="J272" s="3" t="s">
        <v>28</v>
      </c>
      <c r="K272" s="3">
        <v>15</v>
      </c>
      <c r="L272" s="3">
        <v>300</v>
      </c>
      <c r="M272" s="3" t="s">
        <v>32</v>
      </c>
      <c r="N272" s="4">
        <v>46248</v>
      </c>
      <c r="O272" s="4">
        <v>46248</v>
      </c>
      <c r="P272" s="3" t="s">
        <v>219</v>
      </c>
      <c r="Q272" s="3" t="s">
        <v>29</v>
      </c>
      <c r="R272" s="3" t="s">
        <v>26</v>
      </c>
      <c r="S272" s="3"/>
      <c r="T272" s="3"/>
      <c r="U272" s="3" t="s">
        <v>64</v>
      </c>
      <c r="V272" s="3">
        <v>709</v>
      </c>
      <c r="W272" s="3">
        <v>0</v>
      </c>
      <c r="X272" s="3" t="s">
        <v>97</v>
      </c>
      <c r="Y272" s="3" t="s">
        <v>97</v>
      </c>
      <c r="Z272" s="4">
        <v>46248</v>
      </c>
      <c r="AA272" s="3" t="s">
        <v>64</v>
      </c>
      <c r="AB272" s="3" t="s">
        <v>479</v>
      </c>
      <c r="AC272" s="3" t="s">
        <v>615</v>
      </c>
      <c r="AD272" s="9" t="s">
        <v>633</v>
      </c>
    </row>
    <row r="273" spans="1:30" x14ac:dyDescent="0.3">
      <c r="A273" s="8">
        <f t="shared" si="4"/>
        <v>271</v>
      </c>
      <c r="B273" s="3" t="s">
        <v>21</v>
      </c>
      <c r="C273" s="3" t="s">
        <v>482</v>
      </c>
      <c r="D273" s="3" t="s">
        <v>45</v>
      </c>
      <c r="E273" s="3" t="s">
        <v>484</v>
      </c>
      <c r="F273" s="18">
        <v>1580</v>
      </c>
      <c r="G273" s="4">
        <v>46246</v>
      </c>
      <c r="H273" s="4"/>
      <c r="I273" s="3" t="s">
        <v>462</v>
      </c>
      <c r="J273" s="3" t="s">
        <v>28</v>
      </c>
      <c r="K273" s="3">
        <v>60</v>
      </c>
      <c r="L273" s="3">
        <v>600</v>
      </c>
      <c r="M273" s="3" t="s">
        <v>32</v>
      </c>
      <c r="N273" s="4">
        <v>46248</v>
      </c>
      <c r="O273" s="4">
        <v>46248</v>
      </c>
      <c r="P273" s="3" t="s">
        <v>219</v>
      </c>
      <c r="Q273" s="3" t="s">
        <v>29</v>
      </c>
      <c r="R273" s="3" t="s">
        <v>26</v>
      </c>
      <c r="S273" s="3"/>
      <c r="T273" s="3"/>
      <c r="U273" s="3" t="s">
        <v>64</v>
      </c>
      <c r="V273" s="3">
        <v>709</v>
      </c>
      <c r="W273" s="3">
        <v>0</v>
      </c>
      <c r="X273" s="3" t="s">
        <v>97</v>
      </c>
      <c r="Y273" s="3" t="s">
        <v>97</v>
      </c>
      <c r="Z273" s="4">
        <v>46248</v>
      </c>
      <c r="AA273" s="3" t="s">
        <v>64</v>
      </c>
      <c r="AB273" s="3" t="s">
        <v>479</v>
      </c>
      <c r="AC273" s="3" t="s">
        <v>615</v>
      </c>
      <c r="AD273" s="9" t="s">
        <v>633</v>
      </c>
    </row>
    <row r="274" spans="1:30" x14ac:dyDescent="0.3">
      <c r="A274" s="8">
        <f t="shared" si="4"/>
        <v>272</v>
      </c>
      <c r="B274" s="3" t="s">
        <v>21</v>
      </c>
      <c r="C274" s="3" t="s">
        <v>482</v>
      </c>
      <c r="D274" s="3" t="s">
        <v>45</v>
      </c>
      <c r="E274" s="3" t="s">
        <v>485</v>
      </c>
      <c r="F274" s="18">
        <v>1581</v>
      </c>
      <c r="G274" s="4">
        <v>46246</v>
      </c>
      <c r="H274" s="4"/>
      <c r="I274" s="3" t="s">
        <v>335</v>
      </c>
      <c r="J274" s="3" t="s">
        <v>28</v>
      </c>
      <c r="K274" s="3">
        <v>21</v>
      </c>
      <c r="L274" s="3">
        <v>420</v>
      </c>
      <c r="M274" s="3" t="s">
        <v>32</v>
      </c>
      <c r="N274" s="4">
        <v>46248</v>
      </c>
      <c r="O274" s="4">
        <v>46248</v>
      </c>
      <c r="P274" s="3" t="s">
        <v>219</v>
      </c>
      <c r="Q274" s="3" t="s">
        <v>29</v>
      </c>
      <c r="R274" s="3" t="s">
        <v>26</v>
      </c>
      <c r="S274" s="3"/>
      <c r="T274" s="3"/>
      <c r="U274" s="3" t="s">
        <v>64</v>
      </c>
      <c r="V274" s="3">
        <v>709</v>
      </c>
      <c r="W274" s="3">
        <v>0</v>
      </c>
      <c r="X274" s="3" t="s">
        <v>97</v>
      </c>
      <c r="Y274" s="3" t="s">
        <v>97</v>
      </c>
      <c r="Z274" s="4">
        <v>46248</v>
      </c>
      <c r="AA274" s="3" t="s">
        <v>64</v>
      </c>
      <c r="AB274" s="3" t="s">
        <v>479</v>
      </c>
      <c r="AC274" s="3" t="s">
        <v>615</v>
      </c>
      <c r="AD274" s="9" t="s">
        <v>633</v>
      </c>
    </row>
    <row r="275" spans="1:30" x14ac:dyDescent="0.3">
      <c r="A275" s="8">
        <f t="shared" si="4"/>
        <v>273</v>
      </c>
      <c r="B275" s="3" t="s">
        <v>21</v>
      </c>
      <c r="C275" s="3" t="s">
        <v>482</v>
      </c>
      <c r="D275" s="3" t="s">
        <v>45</v>
      </c>
      <c r="E275" s="3" t="s">
        <v>486</v>
      </c>
      <c r="F275" s="18">
        <v>1582</v>
      </c>
      <c r="G275" s="4">
        <v>46246</v>
      </c>
      <c r="H275" s="4"/>
      <c r="I275" s="3" t="s">
        <v>335</v>
      </c>
      <c r="J275" s="3" t="s">
        <v>28</v>
      </c>
      <c r="K275" s="3">
        <v>81</v>
      </c>
      <c r="L275" s="3">
        <v>1620</v>
      </c>
      <c r="M275" s="3" t="s">
        <v>32</v>
      </c>
      <c r="N275" s="4">
        <v>46248</v>
      </c>
      <c r="O275" s="4">
        <v>46248</v>
      </c>
      <c r="P275" s="3" t="s">
        <v>219</v>
      </c>
      <c r="Q275" s="3" t="s">
        <v>29</v>
      </c>
      <c r="R275" s="3" t="s">
        <v>26</v>
      </c>
      <c r="S275" s="3"/>
      <c r="T275" s="3"/>
      <c r="U275" s="3" t="s">
        <v>64</v>
      </c>
      <c r="V275" s="3">
        <v>709</v>
      </c>
      <c r="W275" s="3">
        <v>0</v>
      </c>
      <c r="X275" s="3" t="s">
        <v>97</v>
      </c>
      <c r="Y275" s="3" t="s">
        <v>97</v>
      </c>
      <c r="Z275" s="4">
        <v>46248</v>
      </c>
      <c r="AA275" s="3" t="s">
        <v>64</v>
      </c>
      <c r="AB275" s="3" t="s">
        <v>479</v>
      </c>
      <c r="AC275" s="3" t="s">
        <v>615</v>
      </c>
      <c r="AD275" s="9" t="s">
        <v>633</v>
      </c>
    </row>
    <row r="276" spans="1:30" x14ac:dyDescent="0.3">
      <c r="A276" s="8">
        <f t="shared" si="4"/>
        <v>274</v>
      </c>
      <c r="B276" s="3" t="s">
        <v>21</v>
      </c>
      <c r="C276" s="3" t="s">
        <v>487</v>
      </c>
      <c r="D276" s="3" t="s">
        <v>45</v>
      </c>
      <c r="E276" s="3" t="s">
        <v>488</v>
      </c>
      <c r="F276" s="18">
        <v>1583</v>
      </c>
      <c r="G276" s="4">
        <v>46246</v>
      </c>
      <c r="H276" s="4"/>
      <c r="I276" s="3" t="s">
        <v>31</v>
      </c>
      <c r="J276" s="3" t="s">
        <v>28</v>
      </c>
      <c r="K276" s="3">
        <v>25</v>
      </c>
      <c r="L276" s="3">
        <v>500</v>
      </c>
      <c r="M276" s="3" t="s">
        <v>32</v>
      </c>
      <c r="N276" s="4">
        <v>46248</v>
      </c>
      <c r="O276" s="4">
        <v>46248</v>
      </c>
      <c r="P276" s="3" t="s">
        <v>219</v>
      </c>
      <c r="Q276" s="3" t="s">
        <v>29</v>
      </c>
      <c r="R276" s="3" t="s">
        <v>26</v>
      </c>
      <c r="S276" s="3"/>
      <c r="T276" s="3"/>
      <c r="U276" s="3" t="s">
        <v>64</v>
      </c>
      <c r="V276" s="3">
        <v>709</v>
      </c>
      <c r="W276" s="3">
        <v>0</v>
      </c>
      <c r="X276" s="3" t="s">
        <v>97</v>
      </c>
      <c r="Y276" s="3" t="s">
        <v>97</v>
      </c>
      <c r="Z276" s="4">
        <v>46248</v>
      </c>
      <c r="AA276" s="3" t="s">
        <v>64</v>
      </c>
      <c r="AB276" s="3" t="s">
        <v>479</v>
      </c>
      <c r="AC276" s="3" t="s">
        <v>615</v>
      </c>
      <c r="AD276" s="9" t="s">
        <v>633</v>
      </c>
    </row>
    <row r="277" spans="1:30" x14ac:dyDescent="0.3">
      <c r="A277" s="8">
        <f t="shared" si="4"/>
        <v>275</v>
      </c>
      <c r="B277" s="3" t="s">
        <v>21</v>
      </c>
      <c r="C277" s="3" t="s">
        <v>487</v>
      </c>
      <c r="D277" s="3" t="s">
        <v>45</v>
      </c>
      <c r="E277" s="3" t="s">
        <v>488</v>
      </c>
      <c r="F277" s="18">
        <v>1583</v>
      </c>
      <c r="G277" s="4">
        <v>46246</v>
      </c>
      <c r="H277" s="4"/>
      <c r="I277" s="3" t="s">
        <v>31</v>
      </c>
      <c r="J277" s="3" t="s">
        <v>28</v>
      </c>
      <c r="K277" s="3">
        <v>3</v>
      </c>
      <c r="L277" s="3">
        <v>60</v>
      </c>
      <c r="M277" s="3" t="s">
        <v>32</v>
      </c>
      <c r="N277" s="4">
        <v>46248</v>
      </c>
      <c r="O277" s="4">
        <v>46248</v>
      </c>
      <c r="P277" s="3" t="s">
        <v>219</v>
      </c>
      <c r="Q277" s="3" t="s">
        <v>29</v>
      </c>
      <c r="R277" s="3" t="s">
        <v>26</v>
      </c>
      <c r="S277" s="3"/>
      <c r="T277" s="3"/>
      <c r="U277" s="3" t="s">
        <v>64</v>
      </c>
      <c r="V277" s="3">
        <v>709</v>
      </c>
      <c r="W277" s="3">
        <v>0</v>
      </c>
      <c r="X277" s="3" t="s">
        <v>97</v>
      </c>
      <c r="Y277" s="3" t="s">
        <v>97</v>
      </c>
      <c r="Z277" s="4">
        <v>46248</v>
      </c>
      <c r="AA277" s="3" t="s">
        <v>64</v>
      </c>
      <c r="AB277" s="3" t="s">
        <v>479</v>
      </c>
      <c r="AC277" s="3" t="s">
        <v>615</v>
      </c>
      <c r="AD277" s="9" t="s">
        <v>633</v>
      </c>
    </row>
    <row r="278" spans="1:30" x14ac:dyDescent="0.3">
      <c r="A278" s="8">
        <f t="shared" si="4"/>
        <v>276</v>
      </c>
      <c r="B278" s="3" t="s">
        <v>21</v>
      </c>
      <c r="C278" s="3" t="s">
        <v>386</v>
      </c>
      <c r="D278" s="3" t="s">
        <v>387</v>
      </c>
      <c r="E278" s="3">
        <v>716286943</v>
      </c>
      <c r="F278" s="18">
        <v>1585</v>
      </c>
      <c r="G278" s="4">
        <v>46247</v>
      </c>
      <c r="H278" s="4"/>
      <c r="I278" s="3" t="s">
        <v>462</v>
      </c>
      <c r="J278" s="3" t="s">
        <v>28</v>
      </c>
      <c r="K278" s="3">
        <v>50</v>
      </c>
      <c r="L278" s="3">
        <v>500</v>
      </c>
      <c r="M278" s="3" t="s">
        <v>32</v>
      </c>
      <c r="N278" s="4">
        <v>46248</v>
      </c>
      <c r="O278" s="4">
        <v>46248</v>
      </c>
      <c r="P278" s="3" t="s">
        <v>219</v>
      </c>
      <c r="Q278" s="3" t="s">
        <v>29</v>
      </c>
      <c r="R278" s="3" t="s">
        <v>26</v>
      </c>
      <c r="S278" s="3"/>
      <c r="T278" s="3"/>
      <c r="U278" s="3" t="s">
        <v>389</v>
      </c>
      <c r="V278" s="3">
        <v>709</v>
      </c>
      <c r="W278" s="3">
        <v>0</v>
      </c>
      <c r="X278" s="3" t="s">
        <v>97</v>
      </c>
      <c r="Y278" s="3" t="s">
        <v>97</v>
      </c>
      <c r="Z278" s="4">
        <v>46248</v>
      </c>
      <c r="AA278" s="3" t="s">
        <v>389</v>
      </c>
      <c r="AB278" s="3" t="s">
        <v>471</v>
      </c>
      <c r="AC278" s="3" t="s">
        <v>623</v>
      </c>
      <c r="AD278" s="7" t="s">
        <v>633</v>
      </c>
    </row>
    <row r="279" spans="1:30" x14ac:dyDescent="0.3">
      <c r="A279" s="8">
        <f t="shared" si="4"/>
        <v>277</v>
      </c>
      <c r="B279" s="3" t="s">
        <v>21</v>
      </c>
      <c r="C279" s="3" t="s">
        <v>386</v>
      </c>
      <c r="D279" s="3" t="s">
        <v>387</v>
      </c>
      <c r="E279" s="3">
        <v>716286941</v>
      </c>
      <c r="F279" s="18">
        <v>1584</v>
      </c>
      <c r="G279" s="4">
        <v>46247</v>
      </c>
      <c r="H279" s="4"/>
      <c r="I279" s="3" t="s">
        <v>335</v>
      </c>
      <c r="J279" s="3" t="s">
        <v>28</v>
      </c>
      <c r="K279" s="3">
        <v>200</v>
      </c>
      <c r="L279" s="3">
        <v>4000</v>
      </c>
      <c r="M279" s="3" t="s">
        <v>32</v>
      </c>
      <c r="N279" s="4">
        <v>46248</v>
      </c>
      <c r="O279" s="4">
        <v>46248</v>
      </c>
      <c r="P279" s="3" t="s">
        <v>219</v>
      </c>
      <c r="Q279" s="3" t="s">
        <v>29</v>
      </c>
      <c r="R279" s="3" t="s">
        <v>26</v>
      </c>
      <c r="S279" s="3"/>
      <c r="T279" s="3"/>
      <c r="U279" s="3" t="s">
        <v>389</v>
      </c>
      <c r="V279" s="3">
        <v>709</v>
      </c>
      <c r="W279" s="3">
        <v>0</v>
      </c>
      <c r="X279" s="3" t="s">
        <v>97</v>
      </c>
      <c r="Y279" s="3" t="s">
        <v>97</v>
      </c>
      <c r="Z279" s="4">
        <v>46248</v>
      </c>
      <c r="AA279" s="3" t="s">
        <v>389</v>
      </c>
      <c r="AB279" s="3" t="s">
        <v>471</v>
      </c>
      <c r="AC279" s="3" t="s">
        <v>623</v>
      </c>
      <c r="AD279" s="7" t="s">
        <v>633</v>
      </c>
    </row>
    <row r="280" spans="1:30" x14ac:dyDescent="0.3">
      <c r="A280" s="8">
        <f t="shared" si="4"/>
        <v>278</v>
      </c>
      <c r="B280" s="3" t="s">
        <v>21</v>
      </c>
      <c r="C280" s="3" t="s">
        <v>386</v>
      </c>
      <c r="D280" s="3" t="s">
        <v>387</v>
      </c>
      <c r="E280" s="3">
        <v>716286942</v>
      </c>
      <c r="F280" s="18">
        <v>1382</v>
      </c>
      <c r="G280" s="4">
        <v>46247</v>
      </c>
      <c r="H280" s="4"/>
      <c r="I280" s="3" t="s">
        <v>335</v>
      </c>
      <c r="J280" s="3" t="s">
        <v>28</v>
      </c>
      <c r="K280" s="3">
        <v>300</v>
      </c>
      <c r="L280" s="3">
        <v>6000</v>
      </c>
      <c r="M280" s="3" t="s">
        <v>32</v>
      </c>
      <c r="N280" s="4">
        <v>46248</v>
      </c>
      <c r="O280" s="4">
        <v>46248</v>
      </c>
      <c r="P280" s="3" t="s">
        <v>219</v>
      </c>
      <c r="Q280" s="3" t="s">
        <v>29</v>
      </c>
      <c r="R280" s="3" t="s">
        <v>26</v>
      </c>
      <c r="S280" s="3"/>
      <c r="T280" s="3"/>
      <c r="U280" s="3" t="s">
        <v>388</v>
      </c>
      <c r="V280" s="3">
        <v>709</v>
      </c>
      <c r="W280" s="3">
        <v>0</v>
      </c>
      <c r="X280" s="3" t="s">
        <v>97</v>
      </c>
      <c r="Y280" s="3" t="s">
        <v>97</v>
      </c>
      <c r="Z280" s="4">
        <v>46248</v>
      </c>
      <c r="AA280" s="3" t="s">
        <v>388</v>
      </c>
      <c r="AB280" s="3" t="s">
        <v>471</v>
      </c>
      <c r="AC280" s="3" t="s">
        <v>623</v>
      </c>
      <c r="AD280" s="7" t="s">
        <v>633</v>
      </c>
    </row>
    <row r="281" spans="1:30" hidden="1" x14ac:dyDescent="0.3">
      <c r="A281" s="8">
        <f t="shared" si="4"/>
        <v>279</v>
      </c>
      <c r="B281" s="3" t="s">
        <v>21</v>
      </c>
      <c r="C281" s="3" t="s">
        <v>489</v>
      </c>
      <c r="D281" s="3" t="s">
        <v>490</v>
      </c>
      <c r="E281" s="3" t="s">
        <v>491</v>
      </c>
      <c r="F281" s="3">
        <v>1591</v>
      </c>
      <c r="G281" s="4">
        <v>46248</v>
      </c>
      <c r="H281" s="4"/>
      <c r="I281" s="3" t="s">
        <v>31</v>
      </c>
      <c r="J281" s="3" t="s">
        <v>28</v>
      </c>
      <c r="K281" s="3">
        <v>12</v>
      </c>
      <c r="L281" s="3">
        <v>240</v>
      </c>
      <c r="M281" s="3" t="s">
        <v>32</v>
      </c>
      <c r="N281" s="4">
        <v>46262</v>
      </c>
      <c r="O281" s="3"/>
      <c r="P281" s="3" t="s">
        <v>25</v>
      </c>
      <c r="Q281" s="3" t="s">
        <v>29</v>
      </c>
      <c r="R281" s="3" t="s">
        <v>26</v>
      </c>
      <c r="S281" s="3"/>
      <c r="T281" s="3"/>
      <c r="U281" s="3" t="s">
        <v>308</v>
      </c>
      <c r="V281" s="3">
        <v>709</v>
      </c>
      <c r="W281" s="3">
        <v>0</v>
      </c>
      <c r="X281" s="3" t="s">
        <v>25</v>
      </c>
      <c r="Y281" s="3" t="s">
        <v>25</v>
      </c>
      <c r="Z281" s="4">
        <v>46253</v>
      </c>
      <c r="AA281" s="3" t="s">
        <v>363</v>
      </c>
      <c r="AB281" s="3" t="s">
        <v>472</v>
      </c>
      <c r="AC281" s="3" t="s">
        <v>631</v>
      </c>
      <c r="AD281" s="17" t="s">
        <v>652</v>
      </c>
    </row>
    <row r="282" spans="1:30" hidden="1" x14ac:dyDescent="0.3">
      <c r="A282" s="8">
        <f t="shared" si="4"/>
        <v>280</v>
      </c>
      <c r="B282" s="3" t="s">
        <v>21</v>
      </c>
      <c r="C282" s="3" t="s">
        <v>489</v>
      </c>
      <c r="D282" s="3" t="s">
        <v>490</v>
      </c>
      <c r="E282" s="3" t="s">
        <v>492</v>
      </c>
      <c r="F282" s="3">
        <v>1592</v>
      </c>
      <c r="G282" s="4">
        <v>46248</v>
      </c>
      <c r="H282" s="4"/>
      <c r="I282" s="3" t="s">
        <v>24</v>
      </c>
      <c r="J282" s="3" t="s">
        <v>28</v>
      </c>
      <c r="K282" s="3">
        <v>8</v>
      </c>
      <c r="L282" s="3">
        <v>96</v>
      </c>
      <c r="M282" s="3" t="s">
        <v>32</v>
      </c>
      <c r="N282" s="4">
        <v>46259</v>
      </c>
      <c r="O282" s="4">
        <v>46259</v>
      </c>
      <c r="P282" s="3" t="s">
        <v>637</v>
      </c>
      <c r="Q282" s="3" t="s">
        <v>29</v>
      </c>
      <c r="R282" s="3" t="s">
        <v>26</v>
      </c>
      <c r="S282" s="3"/>
      <c r="T282" s="3"/>
      <c r="U282" s="3" t="s">
        <v>308</v>
      </c>
      <c r="V282" s="3">
        <v>709</v>
      </c>
      <c r="W282" s="3">
        <v>0</v>
      </c>
      <c r="X282" s="3" t="s">
        <v>637</v>
      </c>
      <c r="Y282" s="3" t="s">
        <v>637</v>
      </c>
      <c r="Z282" s="4">
        <v>46259</v>
      </c>
      <c r="AA282" s="3" t="s">
        <v>638</v>
      </c>
      <c r="AB282" s="3" t="s">
        <v>639</v>
      </c>
      <c r="AC282" s="3" t="s">
        <v>631</v>
      </c>
      <c r="AD282" s="9" t="s">
        <v>643</v>
      </c>
    </row>
    <row r="283" spans="1:30" hidden="1" x14ac:dyDescent="0.3">
      <c r="A283" s="8">
        <f t="shared" si="4"/>
        <v>281</v>
      </c>
      <c r="B283" s="3" t="s">
        <v>21</v>
      </c>
      <c r="C283" s="3" t="s">
        <v>324</v>
      </c>
      <c r="D283" s="3" t="s">
        <v>325</v>
      </c>
      <c r="E283" s="3" t="s">
        <v>493</v>
      </c>
      <c r="F283" s="3">
        <v>1593</v>
      </c>
      <c r="G283" s="4">
        <v>46248</v>
      </c>
      <c r="H283" s="4"/>
      <c r="I283" s="3" t="s">
        <v>462</v>
      </c>
      <c r="J283" s="3" t="s">
        <v>28</v>
      </c>
      <c r="K283" s="3">
        <v>20</v>
      </c>
      <c r="L283" s="3">
        <v>200</v>
      </c>
      <c r="M283" s="3" t="s">
        <v>32</v>
      </c>
      <c r="N283" s="4">
        <v>46258</v>
      </c>
      <c r="O283" s="3"/>
      <c r="P283" s="3" t="s">
        <v>582</v>
      </c>
      <c r="Q283" s="3" t="s">
        <v>29</v>
      </c>
      <c r="R283" s="3" t="s">
        <v>26</v>
      </c>
      <c r="S283" s="3"/>
      <c r="T283" s="3"/>
      <c r="U283" s="3" t="s">
        <v>308</v>
      </c>
      <c r="V283" s="3">
        <v>709</v>
      </c>
      <c r="W283" s="3">
        <v>0</v>
      </c>
      <c r="X283" s="3" t="s">
        <v>582</v>
      </c>
      <c r="Y283" s="3" t="s">
        <v>582</v>
      </c>
      <c r="Z283" s="4">
        <v>46254</v>
      </c>
      <c r="AA283" s="3" t="s">
        <v>610</v>
      </c>
      <c r="AB283" s="3" t="s">
        <v>469</v>
      </c>
      <c r="AC283" s="3"/>
      <c r="AD283" s="9" t="s">
        <v>644</v>
      </c>
    </row>
    <row r="284" spans="1:30" x14ac:dyDescent="0.3">
      <c r="A284" s="8">
        <f t="shared" si="4"/>
        <v>282</v>
      </c>
      <c r="B284" s="3" t="s">
        <v>21</v>
      </c>
      <c r="C284" s="3" t="s">
        <v>124</v>
      </c>
      <c r="D284" s="3" t="s">
        <v>125</v>
      </c>
      <c r="E284" s="3" t="s">
        <v>494</v>
      </c>
      <c r="F284" s="3">
        <v>1594</v>
      </c>
      <c r="G284" s="4">
        <v>46248</v>
      </c>
      <c r="H284" s="4"/>
      <c r="I284" s="3" t="s">
        <v>31</v>
      </c>
      <c r="J284" s="3" t="s">
        <v>28</v>
      </c>
      <c r="K284" s="3">
        <v>18</v>
      </c>
      <c r="L284" s="3">
        <v>360</v>
      </c>
      <c r="M284" s="3" t="s">
        <v>32</v>
      </c>
      <c r="N284" s="4">
        <v>46262</v>
      </c>
      <c r="O284" s="4">
        <v>46255</v>
      </c>
      <c r="P284" s="3" t="s">
        <v>219</v>
      </c>
      <c r="Q284" s="3" t="s">
        <v>29</v>
      </c>
      <c r="R284" s="3" t="s">
        <v>26</v>
      </c>
      <c r="S284" s="3"/>
      <c r="T284" s="3"/>
      <c r="U284" s="3" t="s">
        <v>308</v>
      </c>
      <c r="V284" s="3">
        <v>709</v>
      </c>
      <c r="W284" s="3">
        <v>0</v>
      </c>
      <c r="X284" s="3" t="s">
        <v>97</v>
      </c>
      <c r="Y284" s="3" t="s">
        <v>97</v>
      </c>
      <c r="Z284" s="4">
        <v>46253</v>
      </c>
      <c r="AA284" s="3" t="s">
        <v>597</v>
      </c>
      <c r="AB284" s="3" t="s">
        <v>609</v>
      </c>
      <c r="AC284" s="3" t="s">
        <v>627</v>
      </c>
      <c r="AD284" s="9" t="s">
        <v>633</v>
      </c>
    </row>
    <row r="285" spans="1:30" x14ac:dyDescent="0.3">
      <c r="A285" s="8">
        <f t="shared" si="4"/>
        <v>283</v>
      </c>
      <c r="B285" s="3" t="s">
        <v>21</v>
      </c>
      <c r="C285" s="3" t="s">
        <v>280</v>
      </c>
      <c r="D285" s="3" t="s">
        <v>281</v>
      </c>
      <c r="E285" s="3" t="s">
        <v>495</v>
      </c>
      <c r="F285" s="18">
        <v>1595</v>
      </c>
      <c r="G285" s="4">
        <v>46248</v>
      </c>
      <c r="H285" s="4"/>
      <c r="I285" s="3" t="s">
        <v>462</v>
      </c>
      <c r="J285" s="3" t="s">
        <v>28</v>
      </c>
      <c r="K285" s="3">
        <v>5</v>
      </c>
      <c r="L285" s="3">
        <v>50</v>
      </c>
      <c r="M285" s="3" t="s">
        <v>32</v>
      </c>
      <c r="N285" s="4">
        <v>46258</v>
      </c>
      <c r="O285" s="4">
        <v>46263</v>
      </c>
      <c r="P285" s="3" t="s">
        <v>219</v>
      </c>
      <c r="Q285" s="3" t="s">
        <v>29</v>
      </c>
      <c r="R285" s="3" t="s">
        <v>26</v>
      </c>
      <c r="S285" s="3"/>
      <c r="T285" s="3"/>
      <c r="U285" s="3" t="s">
        <v>308</v>
      </c>
      <c r="V285" s="3">
        <v>709</v>
      </c>
      <c r="W285" s="3">
        <v>0</v>
      </c>
      <c r="X285" s="3" t="s">
        <v>97</v>
      </c>
      <c r="Y285" s="3" t="s">
        <v>97</v>
      </c>
      <c r="Z285" s="4">
        <v>46254</v>
      </c>
      <c r="AA285" s="3" t="s">
        <v>610</v>
      </c>
      <c r="AB285" s="3" t="s">
        <v>469</v>
      </c>
      <c r="AC285" s="3"/>
      <c r="AD285" s="9" t="s">
        <v>633</v>
      </c>
    </row>
    <row r="286" spans="1:30" x14ac:dyDescent="0.3">
      <c r="A286" s="8">
        <f t="shared" si="4"/>
        <v>284</v>
      </c>
      <c r="B286" s="3" t="s">
        <v>21</v>
      </c>
      <c r="C286" s="3" t="s">
        <v>280</v>
      </c>
      <c r="D286" s="3" t="s">
        <v>281</v>
      </c>
      <c r="E286" s="3" t="s">
        <v>496</v>
      </c>
      <c r="F286" s="18">
        <v>1596</v>
      </c>
      <c r="G286" s="4">
        <v>46248</v>
      </c>
      <c r="H286" s="4"/>
      <c r="I286" s="3" t="s">
        <v>31</v>
      </c>
      <c r="J286" s="3" t="s">
        <v>28</v>
      </c>
      <c r="K286" s="3">
        <v>3</v>
      </c>
      <c r="L286" s="3">
        <v>60</v>
      </c>
      <c r="M286" s="3" t="s">
        <v>32</v>
      </c>
      <c r="N286" s="4">
        <v>46258</v>
      </c>
      <c r="O286" s="4">
        <v>46263</v>
      </c>
      <c r="P286" s="3" t="s">
        <v>219</v>
      </c>
      <c r="Q286" s="3" t="s">
        <v>29</v>
      </c>
      <c r="R286" s="3" t="s">
        <v>26</v>
      </c>
      <c r="S286" s="3"/>
      <c r="T286" s="3"/>
      <c r="U286" s="3" t="s">
        <v>308</v>
      </c>
      <c r="V286" s="3">
        <v>709</v>
      </c>
      <c r="W286" s="3">
        <v>0</v>
      </c>
      <c r="X286" s="3" t="s">
        <v>97</v>
      </c>
      <c r="Y286" s="3" t="s">
        <v>97</v>
      </c>
      <c r="Z286" s="4">
        <v>46254</v>
      </c>
      <c r="AA286" s="3" t="s">
        <v>610</v>
      </c>
      <c r="AB286" s="3" t="s">
        <v>469</v>
      </c>
      <c r="AC286" s="3"/>
      <c r="AD286" s="9" t="s">
        <v>633</v>
      </c>
    </row>
    <row r="287" spans="1:30" x14ac:dyDescent="0.3">
      <c r="A287" s="8">
        <f t="shared" si="4"/>
        <v>285</v>
      </c>
      <c r="B287" s="3" t="s">
        <v>21</v>
      </c>
      <c r="C287" s="3" t="s">
        <v>497</v>
      </c>
      <c r="D287" s="3" t="s">
        <v>498</v>
      </c>
      <c r="E287" s="3" t="s">
        <v>499</v>
      </c>
      <c r="F287" s="18">
        <v>1597</v>
      </c>
      <c r="G287" s="4">
        <v>46248</v>
      </c>
      <c r="H287" s="4"/>
      <c r="I287" s="3" t="s">
        <v>31</v>
      </c>
      <c r="J287" s="3" t="s">
        <v>28</v>
      </c>
      <c r="K287" s="3">
        <v>9</v>
      </c>
      <c r="L287" s="3">
        <v>180</v>
      </c>
      <c r="M287" s="3" t="s">
        <v>32</v>
      </c>
      <c r="N287" s="4">
        <v>46258</v>
      </c>
      <c r="O287" s="3"/>
      <c r="P287" s="3" t="s">
        <v>219</v>
      </c>
      <c r="Q287" s="3" t="s">
        <v>29</v>
      </c>
      <c r="R287" s="3" t="s">
        <v>26</v>
      </c>
      <c r="S287" s="3"/>
      <c r="T287" s="3"/>
      <c r="U287" s="3" t="s">
        <v>308</v>
      </c>
      <c r="V287" s="3">
        <v>709</v>
      </c>
      <c r="W287" s="3">
        <v>0</v>
      </c>
      <c r="X287" s="3" t="s">
        <v>219</v>
      </c>
      <c r="Y287" s="3" t="s">
        <v>219</v>
      </c>
      <c r="Z287" s="4">
        <v>46254</v>
      </c>
      <c r="AA287" s="3" t="s">
        <v>610</v>
      </c>
      <c r="AB287" s="3" t="s">
        <v>469</v>
      </c>
      <c r="AC287" s="3"/>
      <c r="AD287" s="9" t="s">
        <v>633</v>
      </c>
    </row>
    <row r="288" spans="1:30" x14ac:dyDescent="0.3">
      <c r="A288" s="8">
        <f t="shared" si="4"/>
        <v>286</v>
      </c>
      <c r="B288" s="3" t="s">
        <v>21</v>
      </c>
      <c r="C288" s="3" t="s">
        <v>501</v>
      </c>
      <c r="D288" s="3" t="s">
        <v>502</v>
      </c>
      <c r="E288" s="3" t="s">
        <v>500</v>
      </c>
      <c r="F288" s="3">
        <v>1598</v>
      </c>
      <c r="G288" s="4">
        <v>46248</v>
      </c>
      <c r="H288" s="4"/>
      <c r="I288" s="3" t="s">
        <v>31</v>
      </c>
      <c r="J288" s="3" t="s">
        <v>28</v>
      </c>
      <c r="K288" s="3">
        <v>9</v>
      </c>
      <c r="L288" s="3">
        <v>180</v>
      </c>
      <c r="M288" s="3" t="s">
        <v>32</v>
      </c>
      <c r="N288" s="4">
        <v>46262</v>
      </c>
      <c r="O288" s="4">
        <v>46255</v>
      </c>
      <c r="P288" s="3" t="s">
        <v>219</v>
      </c>
      <c r="Q288" s="3" t="s">
        <v>29</v>
      </c>
      <c r="R288" s="3" t="s">
        <v>26</v>
      </c>
      <c r="S288" s="3"/>
      <c r="T288" s="3"/>
      <c r="U288" s="3" t="s">
        <v>308</v>
      </c>
      <c r="V288" s="3">
        <v>709</v>
      </c>
      <c r="W288" s="3">
        <v>0</v>
      </c>
      <c r="X288" s="3" t="s">
        <v>97</v>
      </c>
      <c r="Y288" s="3" t="s">
        <v>97</v>
      </c>
      <c r="Z288" s="4">
        <v>46253</v>
      </c>
      <c r="AA288" s="3" t="s">
        <v>597</v>
      </c>
      <c r="AB288" s="3" t="s">
        <v>609</v>
      </c>
      <c r="AC288" s="3" t="s">
        <v>627</v>
      </c>
      <c r="AD288" s="9" t="s">
        <v>633</v>
      </c>
    </row>
    <row r="289" spans="1:30" hidden="1" x14ac:dyDescent="0.3">
      <c r="A289" s="8">
        <f t="shared" si="4"/>
        <v>287</v>
      </c>
      <c r="B289" s="3" t="s">
        <v>21</v>
      </c>
      <c r="C289" s="3" t="s">
        <v>192</v>
      </c>
      <c r="D289" s="3" t="s">
        <v>139</v>
      </c>
      <c r="E289" s="3" t="s">
        <v>503</v>
      </c>
      <c r="F289" s="3">
        <v>1599</v>
      </c>
      <c r="G289" s="4">
        <v>46248</v>
      </c>
      <c r="H289" s="4"/>
      <c r="I289" s="3" t="s">
        <v>462</v>
      </c>
      <c r="J289" s="3" t="s">
        <v>28</v>
      </c>
      <c r="K289" s="3">
        <v>10</v>
      </c>
      <c r="L289" s="3">
        <v>100</v>
      </c>
      <c r="M289" s="3" t="s">
        <v>32</v>
      </c>
      <c r="N289" s="4">
        <v>46259</v>
      </c>
      <c r="O289" s="4">
        <v>46259</v>
      </c>
      <c r="P289" s="3" t="s">
        <v>637</v>
      </c>
      <c r="Q289" s="3" t="s">
        <v>29</v>
      </c>
      <c r="R289" s="3" t="s">
        <v>26</v>
      </c>
      <c r="S289" s="3"/>
      <c r="T289" s="3"/>
      <c r="U289" s="3" t="s">
        <v>308</v>
      </c>
      <c r="V289" s="3">
        <v>709</v>
      </c>
      <c r="W289" s="3">
        <v>0</v>
      </c>
      <c r="X289" s="3" t="s">
        <v>637</v>
      </c>
      <c r="Y289" s="3" t="s">
        <v>637</v>
      </c>
      <c r="Z289" s="4">
        <v>46259</v>
      </c>
      <c r="AA289" s="3" t="s">
        <v>638</v>
      </c>
      <c r="AB289" s="3" t="s">
        <v>639</v>
      </c>
      <c r="AC289" s="3"/>
      <c r="AD289" s="9" t="s">
        <v>643</v>
      </c>
    </row>
    <row r="290" spans="1:30" hidden="1" x14ac:dyDescent="0.3">
      <c r="A290" s="8">
        <f t="shared" si="4"/>
        <v>288</v>
      </c>
      <c r="B290" s="3" t="s">
        <v>21</v>
      </c>
      <c r="C290" s="3" t="s">
        <v>192</v>
      </c>
      <c r="D290" s="3" t="s">
        <v>139</v>
      </c>
      <c r="E290" s="3" t="s">
        <v>504</v>
      </c>
      <c r="F290" s="3">
        <v>1600</v>
      </c>
      <c r="G290" s="4">
        <v>46248</v>
      </c>
      <c r="H290" s="4"/>
      <c r="I290" s="3" t="s">
        <v>24</v>
      </c>
      <c r="J290" s="3" t="s">
        <v>28</v>
      </c>
      <c r="K290" s="3">
        <v>4</v>
      </c>
      <c r="L290" s="3">
        <v>48</v>
      </c>
      <c r="M290" s="3" t="s">
        <v>32</v>
      </c>
      <c r="N290" s="4">
        <v>46259</v>
      </c>
      <c r="O290" s="4">
        <v>46259</v>
      </c>
      <c r="P290" s="3" t="s">
        <v>637</v>
      </c>
      <c r="Q290" s="3" t="s">
        <v>29</v>
      </c>
      <c r="R290" s="3" t="s">
        <v>26</v>
      </c>
      <c r="S290" s="3"/>
      <c r="T290" s="3"/>
      <c r="U290" s="3" t="s">
        <v>308</v>
      </c>
      <c r="V290" s="3">
        <v>709</v>
      </c>
      <c r="W290" s="3">
        <v>0</v>
      </c>
      <c r="X290" s="3" t="s">
        <v>637</v>
      </c>
      <c r="Y290" s="3" t="s">
        <v>637</v>
      </c>
      <c r="Z290" s="4">
        <v>46259</v>
      </c>
      <c r="AA290" s="3" t="s">
        <v>638</v>
      </c>
      <c r="AB290" s="3" t="s">
        <v>639</v>
      </c>
      <c r="AC290" s="3"/>
      <c r="AD290" s="9" t="s">
        <v>643</v>
      </c>
    </row>
    <row r="291" spans="1:30" x14ac:dyDescent="0.3">
      <c r="A291" s="8">
        <f t="shared" si="4"/>
        <v>289</v>
      </c>
      <c r="B291" s="3" t="s">
        <v>21</v>
      </c>
      <c r="C291" s="3" t="s">
        <v>505</v>
      </c>
      <c r="D291" s="3" t="s">
        <v>506</v>
      </c>
      <c r="E291" s="3" t="s">
        <v>507</v>
      </c>
      <c r="F291" s="3">
        <v>1601</v>
      </c>
      <c r="G291" s="4">
        <v>46248</v>
      </c>
      <c r="H291" s="4"/>
      <c r="I291" s="3" t="s">
        <v>31</v>
      </c>
      <c r="J291" s="3" t="s">
        <v>28</v>
      </c>
      <c r="K291" s="3">
        <v>6</v>
      </c>
      <c r="L291" s="3">
        <v>120</v>
      </c>
      <c r="M291" s="3" t="s">
        <v>32</v>
      </c>
      <c r="N291" s="4">
        <v>46256</v>
      </c>
      <c r="O291" s="4">
        <v>46262</v>
      </c>
      <c r="P291" s="3" t="s">
        <v>219</v>
      </c>
      <c r="Q291" s="3" t="s">
        <v>29</v>
      </c>
      <c r="R291" s="3" t="s">
        <v>26</v>
      </c>
      <c r="S291" s="3"/>
      <c r="T291" s="3"/>
      <c r="U291" s="3" t="s">
        <v>308</v>
      </c>
      <c r="V291" s="3">
        <v>709</v>
      </c>
      <c r="W291" s="3">
        <v>0</v>
      </c>
      <c r="X291" s="3" t="s">
        <v>97</v>
      </c>
      <c r="Y291" s="3" t="s">
        <v>97</v>
      </c>
      <c r="Z291" s="4">
        <v>46254</v>
      </c>
      <c r="AA291" s="3" t="s">
        <v>591</v>
      </c>
      <c r="AB291" s="3" t="s">
        <v>592</v>
      </c>
      <c r="AC291" s="3" t="s">
        <v>620</v>
      </c>
      <c r="AD291" s="9" t="s">
        <v>633</v>
      </c>
    </row>
    <row r="292" spans="1:30" x14ac:dyDescent="0.3">
      <c r="A292" s="8">
        <f t="shared" si="4"/>
        <v>290</v>
      </c>
      <c r="B292" s="3" t="s">
        <v>21</v>
      </c>
      <c r="C292" s="3" t="s">
        <v>66</v>
      </c>
      <c r="D292" s="3" t="s">
        <v>67</v>
      </c>
      <c r="E292" s="3" t="s">
        <v>510</v>
      </c>
      <c r="F292" s="18">
        <v>1602</v>
      </c>
      <c r="G292" s="4">
        <v>46248</v>
      </c>
      <c r="H292" s="4"/>
      <c r="I292" s="3" t="s">
        <v>462</v>
      </c>
      <c r="J292" s="3" t="s">
        <v>28</v>
      </c>
      <c r="K292" s="3">
        <v>10</v>
      </c>
      <c r="L292" s="3">
        <v>100</v>
      </c>
      <c r="M292" s="3" t="s">
        <v>32</v>
      </c>
      <c r="N292" s="4">
        <v>46260</v>
      </c>
      <c r="O292" s="3"/>
      <c r="P292" s="3" t="s">
        <v>219</v>
      </c>
      <c r="Q292" s="3" t="s">
        <v>29</v>
      </c>
      <c r="R292" s="3" t="s">
        <v>26</v>
      </c>
      <c r="S292" s="3"/>
      <c r="T292" s="3"/>
      <c r="U292" s="3" t="s">
        <v>308</v>
      </c>
      <c r="V292" s="3">
        <v>709</v>
      </c>
      <c r="W292" s="3">
        <v>0</v>
      </c>
      <c r="X292" s="3" t="s">
        <v>219</v>
      </c>
      <c r="Y292" s="3" t="s">
        <v>219</v>
      </c>
      <c r="Z292" s="4">
        <v>46255</v>
      </c>
      <c r="AA292" s="3" t="s">
        <v>599</v>
      </c>
      <c r="AB292" s="3"/>
      <c r="AC292" s="3"/>
      <c r="AD292" s="9" t="s">
        <v>633</v>
      </c>
    </row>
    <row r="293" spans="1:30" x14ac:dyDescent="0.3">
      <c r="A293" s="8">
        <f t="shared" si="4"/>
        <v>291</v>
      </c>
      <c r="B293" s="3" t="s">
        <v>21</v>
      </c>
      <c r="C293" s="3" t="s">
        <v>508</v>
      </c>
      <c r="D293" s="3" t="s">
        <v>509</v>
      </c>
      <c r="E293" s="3" t="s">
        <v>511</v>
      </c>
      <c r="F293" s="18">
        <v>1603</v>
      </c>
      <c r="G293" s="4">
        <v>46248</v>
      </c>
      <c r="H293" s="4"/>
      <c r="I293" s="3" t="s">
        <v>462</v>
      </c>
      <c r="J293" s="3" t="s">
        <v>28</v>
      </c>
      <c r="K293" s="3">
        <v>10</v>
      </c>
      <c r="L293" s="3">
        <v>100</v>
      </c>
      <c r="M293" s="3" t="s">
        <v>32</v>
      </c>
      <c r="N293" s="4">
        <v>46258</v>
      </c>
      <c r="O293" s="4">
        <v>46263</v>
      </c>
      <c r="P293" s="3" t="s">
        <v>219</v>
      </c>
      <c r="Q293" s="3" t="s">
        <v>29</v>
      </c>
      <c r="R293" s="3" t="s">
        <v>26</v>
      </c>
      <c r="S293" s="3"/>
      <c r="T293" s="3"/>
      <c r="U293" s="3" t="s">
        <v>308</v>
      </c>
      <c r="V293" s="3">
        <v>709</v>
      </c>
      <c r="W293" s="3">
        <v>0</v>
      </c>
      <c r="X293" s="3" t="s">
        <v>97</v>
      </c>
      <c r="Y293" s="3" t="s">
        <v>97</v>
      </c>
      <c r="Z293" s="4">
        <v>46254</v>
      </c>
      <c r="AA293" s="3" t="s">
        <v>610</v>
      </c>
      <c r="AB293" s="3" t="s">
        <v>469</v>
      </c>
      <c r="AC293" s="3"/>
      <c r="AD293" s="9" t="s">
        <v>633</v>
      </c>
    </row>
    <row r="294" spans="1:30" x14ac:dyDescent="0.3">
      <c r="A294" s="8">
        <f t="shared" si="4"/>
        <v>292</v>
      </c>
      <c r="B294" s="3" t="s">
        <v>21</v>
      </c>
      <c r="C294" s="3" t="s">
        <v>41</v>
      </c>
      <c r="D294" s="3" t="s">
        <v>45</v>
      </c>
      <c r="E294" s="3" t="s">
        <v>512</v>
      </c>
      <c r="F294" s="3">
        <v>1604</v>
      </c>
      <c r="G294" s="4">
        <v>46248</v>
      </c>
      <c r="H294" s="4"/>
      <c r="I294" s="3" t="s">
        <v>24</v>
      </c>
      <c r="J294" s="3" t="s">
        <v>28</v>
      </c>
      <c r="K294" s="3">
        <v>8</v>
      </c>
      <c r="L294" s="3">
        <v>96</v>
      </c>
      <c r="M294" s="3" t="s">
        <v>32</v>
      </c>
      <c r="N294" s="4">
        <v>46252</v>
      </c>
      <c r="O294" s="4">
        <v>46256</v>
      </c>
      <c r="P294" s="3" t="s">
        <v>219</v>
      </c>
      <c r="Q294" s="3" t="s">
        <v>29</v>
      </c>
      <c r="R294" s="3" t="s">
        <v>26</v>
      </c>
      <c r="S294" s="3"/>
      <c r="T294" s="3"/>
      <c r="U294" s="3" t="s">
        <v>308</v>
      </c>
      <c r="V294" s="3">
        <v>709</v>
      </c>
      <c r="W294" s="3">
        <v>0</v>
      </c>
      <c r="X294" s="3" t="s">
        <v>97</v>
      </c>
      <c r="Y294" s="3" t="s">
        <v>97</v>
      </c>
      <c r="Z294" s="4">
        <v>46248</v>
      </c>
      <c r="AA294" s="3" t="s">
        <v>308</v>
      </c>
      <c r="AB294" s="3" t="s">
        <v>472</v>
      </c>
      <c r="AC294" s="3" t="s">
        <v>629</v>
      </c>
      <c r="AD294" s="9" t="s">
        <v>633</v>
      </c>
    </row>
    <row r="295" spans="1:30" x14ac:dyDescent="0.3">
      <c r="A295" s="8">
        <f t="shared" si="4"/>
        <v>293</v>
      </c>
      <c r="B295" s="3" t="s">
        <v>21</v>
      </c>
      <c r="C295" s="3" t="s">
        <v>41</v>
      </c>
      <c r="D295" s="3" t="s">
        <v>45</v>
      </c>
      <c r="E295" s="3" t="s">
        <v>513</v>
      </c>
      <c r="F295" s="3">
        <v>1605</v>
      </c>
      <c r="G295" s="4">
        <v>46248</v>
      </c>
      <c r="H295" s="4"/>
      <c r="I295" s="3" t="s">
        <v>462</v>
      </c>
      <c r="J295" s="3" t="s">
        <v>28</v>
      </c>
      <c r="K295" s="3">
        <v>10</v>
      </c>
      <c r="L295" s="3">
        <v>100</v>
      </c>
      <c r="M295" s="3" t="s">
        <v>32</v>
      </c>
      <c r="N295" s="4">
        <v>46252</v>
      </c>
      <c r="O295" s="4">
        <v>46256</v>
      </c>
      <c r="P295" s="3" t="s">
        <v>219</v>
      </c>
      <c r="Q295" s="3" t="s">
        <v>29</v>
      </c>
      <c r="R295" s="3" t="s">
        <v>26</v>
      </c>
      <c r="S295" s="3"/>
      <c r="T295" s="3"/>
      <c r="U295" s="3" t="s">
        <v>308</v>
      </c>
      <c r="V295" s="3">
        <v>709</v>
      </c>
      <c r="W295" s="3">
        <v>0</v>
      </c>
      <c r="X295" s="3" t="s">
        <v>97</v>
      </c>
      <c r="Y295" s="3" t="s">
        <v>97</v>
      </c>
      <c r="Z295" s="4">
        <v>46248</v>
      </c>
      <c r="AA295" s="3" t="s">
        <v>308</v>
      </c>
      <c r="AB295" s="3" t="s">
        <v>472</v>
      </c>
      <c r="AC295" s="3" t="s">
        <v>629</v>
      </c>
      <c r="AD295" s="9" t="s">
        <v>633</v>
      </c>
    </row>
    <row r="296" spans="1:30" x14ac:dyDescent="0.3">
      <c r="A296" s="8">
        <f t="shared" si="4"/>
        <v>294</v>
      </c>
      <c r="B296" s="3" t="s">
        <v>21</v>
      </c>
      <c r="C296" s="3" t="s">
        <v>514</v>
      </c>
      <c r="D296" s="3" t="s">
        <v>515</v>
      </c>
      <c r="E296" s="3" t="s">
        <v>516</v>
      </c>
      <c r="F296" s="18">
        <v>1606</v>
      </c>
      <c r="G296" s="4">
        <v>46248</v>
      </c>
      <c r="H296" s="4"/>
      <c r="I296" s="3" t="s">
        <v>31</v>
      </c>
      <c r="J296" s="3" t="s">
        <v>28</v>
      </c>
      <c r="K296" s="3">
        <v>6</v>
      </c>
      <c r="L296" s="3">
        <v>120</v>
      </c>
      <c r="M296" s="3" t="s">
        <v>32</v>
      </c>
      <c r="N296" s="4">
        <v>46258</v>
      </c>
      <c r="O296" s="4">
        <v>46264</v>
      </c>
      <c r="P296" s="3" t="s">
        <v>219</v>
      </c>
      <c r="Q296" s="3" t="s">
        <v>29</v>
      </c>
      <c r="R296" s="3" t="s">
        <v>26</v>
      </c>
      <c r="S296" s="3"/>
      <c r="T296" s="3"/>
      <c r="U296" s="3" t="s">
        <v>308</v>
      </c>
      <c r="V296" s="3">
        <v>709</v>
      </c>
      <c r="W296" s="3">
        <v>0</v>
      </c>
      <c r="X296" s="3" t="s">
        <v>97</v>
      </c>
      <c r="Y296" s="3" t="s">
        <v>97</v>
      </c>
      <c r="Z296" s="4">
        <v>46254</v>
      </c>
      <c r="AA296" s="3" t="s">
        <v>610</v>
      </c>
      <c r="AB296" s="3" t="s">
        <v>469</v>
      </c>
      <c r="AC296" s="3"/>
      <c r="AD296" s="9" t="s">
        <v>633</v>
      </c>
    </row>
    <row r="297" spans="1:30" hidden="1" x14ac:dyDescent="0.3">
      <c r="A297" s="8">
        <f t="shared" si="4"/>
        <v>295</v>
      </c>
      <c r="B297" s="3" t="s">
        <v>21</v>
      </c>
      <c r="C297" s="3" t="s">
        <v>517</v>
      </c>
      <c r="D297" s="3" t="s">
        <v>518</v>
      </c>
      <c r="E297" s="3" t="s">
        <v>519</v>
      </c>
      <c r="F297" s="3">
        <v>1607</v>
      </c>
      <c r="G297" s="4">
        <v>46248</v>
      </c>
      <c r="H297" s="4"/>
      <c r="I297" s="3" t="s">
        <v>462</v>
      </c>
      <c r="J297" s="3" t="s">
        <v>28</v>
      </c>
      <c r="K297" s="3">
        <v>10</v>
      </c>
      <c r="L297" s="3">
        <v>100</v>
      </c>
      <c r="M297" s="3" t="s">
        <v>32</v>
      </c>
      <c r="N297" s="4">
        <v>46258</v>
      </c>
      <c r="O297" s="3"/>
      <c r="P297" s="3" t="s">
        <v>582</v>
      </c>
      <c r="Q297" s="3" t="s">
        <v>29</v>
      </c>
      <c r="R297" s="3" t="s">
        <v>26</v>
      </c>
      <c r="S297" s="3"/>
      <c r="T297" s="3"/>
      <c r="U297" s="3" t="s">
        <v>308</v>
      </c>
      <c r="V297" s="3">
        <v>709</v>
      </c>
      <c r="W297" s="3">
        <v>0</v>
      </c>
      <c r="X297" s="3" t="s">
        <v>582</v>
      </c>
      <c r="Y297" s="3" t="s">
        <v>582</v>
      </c>
      <c r="Z297" s="4">
        <v>46254</v>
      </c>
      <c r="AA297" s="3" t="s">
        <v>610</v>
      </c>
      <c r="AB297" s="3" t="s">
        <v>469</v>
      </c>
      <c r="AC297" s="3"/>
      <c r="AD297" s="9" t="s">
        <v>644</v>
      </c>
    </row>
    <row r="298" spans="1:30" hidden="1" x14ac:dyDescent="0.3">
      <c r="A298" s="8">
        <f t="shared" si="4"/>
        <v>296</v>
      </c>
      <c r="B298" s="3" t="s">
        <v>21</v>
      </c>
      <c r="C298" s="3" t="s">
        <v>517</v>
      </c>
      <c r="D298" s="3" t="s">
        <v>518</v>
      </c>
      <c r="E298" s="3" t="s">
        <v>520</v>
      </c>
      <c r="F298" s="3">
        <v>1608</v>
      </c>
      <c r="G298" s="4">
        <v>46248</v>
      </c>
      <c r="H298" s="4"/>
      <c r="I298" s="3" t="s">
        <v>31</v>
      </c>
      <c r="J298" s="3" t="s">
        <v>28</v>
      </c>
      <c r="K298" s="3">
        <v>15</v>
      </c>
      <c r="L298" s="3">
        <v>300</v>
      </c>
      <c r="M298" s="3" t="s">
        <v>32</v>
      </c>
      <c r="N298" s="4">
        <v>46258</v>
      </c>
      <c r="O298" s="3"/>
      <c r="P298" s="3" t="s">
        <v>582</v>
      </c>
      <c r="Q298" s="3" t="s">
        <v>29</v>
      </c>
      <c r="R298" s="3" t="s">
        <v>26</v>
      </c>
      <c r="S298" s="3"/>
      <c r="T298" s="3"/>
      <c r="U298" s="3" t="s">
        <v>308</v>
      </c>
      <c r="V298" s="3">
        <v>709</v>
      </c>
      <c r="W298" s="3">
        <v>0</v>
      </c>
      <c r="X298" s="3" t="s">
        <v>582</v>
      </c>
      <c r="Y298" s="3" t="s">
        <v>582</v>
      </c>
      <c r="Z298" s="4">
        <v>46254</v>
      </c>
      <c r="AA298" s="3" t="s">
        <v>610</v>
      </c>
      <c r="AB298" s="3" t="s">
        <v>469</v>
      </c>
      <c r="AC298" s="3"/>
      <c r="AD298" s="9" t="s">
        <v>644</v>
      </c>
    </row>
    <row r="299" spans="1:30" hidden="1" x14ac:dyDescent="0.3">
      <c r="A299" s="8">
        <f t="shared" si="4"/>
        <v>297</v>
      </c>
      <c r="B299" s="3" t="s">
        <v>21</v>
      </c>
      <c r="C299" s="3" t="s">
        <v>517</v>
      </c>
      <c r="D299" s="3" t="s">
        <v>518</v>
      </c>
      <c r="E299" s="3" t="s">
        <v>521</v>
      </c>
      <c r="F299" s="3">
        <v>1609</v>
      </c>
      <c r="G299" s="4">
        <v>46248</v>
      </c>
      <c r="H299" s="4"/>
      <c r="I299" s="3" t="s">
        <v>24</v>
      </c>
      <c r="J299" s="3" t="s">
        <v>28</v>
      </c>
      <c r="K299" s="3">
        <v>4</v>
      </c>
      <c r="L299" s="3">
        <v>48</v>
      </c>
      <c r="M299" s="3" t="s">
        <v>32</v>
      </c>
      <c r="N299" s="4">
        <v>46258</v>
      </c>
      <c r="O299" s="3"/>
      <c r="P299" s="3" t="s">
        <v>582</v>
      </c>
      <c r="Q299" s="3" t="s">
        <v>29</v>
      </c>
      <c r="R299" s="3" t="s">
        <v>26</v>
      </c>
      <c r="S299" s="3"/>
      <c r="T299" s="3"/>
      <c r="U299" s="3" t="s">
        <v>308</v>
      </c>
      <c r="V299" s="3">
        <v>709</v>
      </c>
      <c r="W299" s="3">
        <v>0</v>
      </c>
      <c r="X299" s="3" t="s">
        <v>582</v>
      </c>
      <c r="Y299" s="3" t="s">
        <v>582</v>
      </c>
      <c r="Z299" s="4">
        <v>46254</v>
      </c>
      <c r="AA299" s="3" t="s">
        <v>610</v>
      </c>
      <c r="AB299" s="3" t="s">
        <v>469</v>
      </c>
      <c r="AC299" s="3"/>
      <c r="AD299" s="9" t="s">
        <v>644</v>
      </c>
    </row>
    <row r="300" spans="1:30" x14ac:dyDescent="0.3">
      <c r="A300" s="8">
        <f t="shared" si="4"/>
        <v>298</v>
      </c>
      <c r="B300" s="3" t="s">
        <v>21</v>
      </c>
      <c r="C300" s="3" t="s">
        <v>146</v>
      </c>
      <c r="D300" s="3" t="s">
        <v>147</v>
      </c>
      <c r="E300" s="3" t="s">
        <v>522</v>
      </c>
      <c r="F300" s="18">
        <v>1610</v>
      </c>
      <c r="G300" s="4">
        <v>46248</v>
      </c>
      <c r="H300" s="4"/>
      <c r="I300" s="3" t="s">
        <v>462</v>
      </c>
      <c r="J300" s="3" t="s">
        <v>28</v>
      </c>
      <c r="K300" s="3">
        <v>10</v>
      </c>
      <c r="L300" s="3">
        <v>100</v>
      </c>
      <c r="M300" s="3" t="s">
        <v>32</v>
      </c>
      <c r="N300" s="4">
        <v>46259</v>
      </c>
      <c r="O300" s="4">
        <v>46259</v>
      </c>
      <c r="P300" s="3" t="s">
        <v>219</v>
      </c>
      <c r="Q300" s="3" t="s">
        <v>29</v>
      </c>
      <c r="R300" s="3" t="s">
        <v>26</v>
      </c>
      <c r="S300" s="3"/>
      <c r="T300" s="3"/>
      <c r="U300" s="3" t="s">
        <v>308</v>
      </c>
      <c r="V300" s="3">
        <v>709</v>
      </c>
      <c r="W300" s="3">
        <v>0</v>
      </c>
      <c r="X300" s="3" t="s">
        <v>219</v>
      </c>
      <c r="Y300" s="3" t="s">
        <v>219</v>
      </c>
      <c r="Z300" s="4">
        <v>46259</v>
      </c>
      <c r="AA300" s="3" t="s">
        <v>638</v>
      </c>
      <c r="AB300" s="3" t="s">
        <v>639</v>
      </c>
      <c r="AC300" s="3"/>
      <c r="AD300" s="9" t="s">
        <v>633</v>
      </c>
    </row>
    <row r="301" spans="1:30" x14ac:dyDescent="0.3">
      <c r="A301" s="8">
        <f t="shared" si="4"/>
        <v>299</v>
      </c>
      <c r="B301" s="3" t="s">
        <v>21</v>
      </c>
      <c r="C301" s="3" t="s">
        <v>523</v>
      </c>
      <c r="D301" s="3" t="s">
        <v>524</v>
      </c>
      <c r="E301" s="3" t="s">
        <v>525</v>
      </c>
      <c r="F301" s="18">
        <v>1611</v>
      </c>
      <c r="G301" s="4">
        <v>46248</v>
      </c>
      <c r="H301" s="4"/>
      <c r="I301" s="3" t="s">
        <v>31</v>
      </c>
      <c r="J301" s="3" t="s">
        <v>28</v>
      </c>
      <c r="K301" s="3">
        <v>3</v>
      </c>
      <c r="L301" s="3">
        <v>60</v>
      </c>
      <c r="M301" s="3" t="s">
        <v>32</v>
      </c>
      <c r="N301" s="4">
        <v>46258</v>
      </c>
      <c r="O301" s="4">
        <v>46263</v>
      </c>
      <c r="P301" s="3" t="s">
        <v>219</v>
      </c>
      <c r="Q301" s="3" t="s">
        <v>29</v>
      </c>
      <c r="R301" s="3" t="s">
        <v>26</v>
      </c>
      <c r="S301" s="3"/>
      <c r="T301" s="3"/>
      <c r="U301" s="3" t="s">
        <v>308</v>
      </c>
      <c r="V301" s="3">
        <v>709</v>
      </c>
      <c r="W301" s="3">
        <v>0</v>
      </c>
      <c r="X301" s="3" t="s">
        <v>97</v>
      </c>
      <c r="Y301" s="3" t="s">
        <v>97</v>
      </c>
      <c r="Z301" s="4">
        <v>46254</v>
      </c>
      <c r="AA301" s="3" t="s">
        <v>610</v>
      </c>
      <c r="AB301" s="3" t="s">
        <v>469</v>
      </c>
      <c r="AC301" s="3"/>
      <c r="AD301" s="9" t="s">
        <v>633</v>
      </c>
    </row>
    <row r="302" spans="1:30" x14ac:dyDescent="0.3">
      <c r="A302" s="8">
        <f t="shared" si="4"/>
        <v>300</v>
      </c>
      <c r="B302" s="3" t="s">
        <v>21</v>
      </c>
      <c r="C302" s="3" t="s">
        <v>523</v>
      </c>
      <c r="D302" s="3" t="s">
        <v>524</v>
      </c>
      <c r="E302" s="3" t="s">
        <v>526</v>
      </c>
      <c r="F302" s="18">
        <v>1612</v>
      </c>
      <c r="G302" s="4">
        <v>46248</v>
      </c>
      <c r="H302" s="4"/>
      <c r="I302" s="3" t="s">
        <v>462</v>
      </c>
      <c r="J302" s="3" t="s">
        <v>28</v>
      </c>
      <c r="K302" s="3">
        <v>5</v>
      </c>
      <c r="L302" s="3">
        <v>50</v>
      </c>
      <c r="M302" s="3" t="s">
        <v>32</v>
      </c>
      <c r="N302" s="4">
        <v>46258</v>
      </c>
      <c r="O302" s="4">
        <v>46263</v>
      </c>
      <c r="P302" s="3" t="s">
        <v>219</v>
      </c>
      <c r="Q302" s="3" t="s">
        <v>29</v>
      </c>
      <c r="R302" s="3" t="s">
        <v>26</v>
      </c>
      <c r="S302" s="3"/>
      <c r="T302" s="3"/>
      <c r="U302" s="3" t="s">
        <v>308</v>
      </c>
      <c r="V302" s="3">
        <v>709</v>
      </c>
      <c r="W302" s="3">
        <v>0</v>
      </c>
      <c r="X302" s="3" t="s">
        <v>97</v>
      </c>
      <c r="Y302" s="3" t="s">
        <v>97</v>
      </c>
      <c r="Z302" s="4">
        <v>46254</v>
      </c>
      <c r="AA302" s="3" t="s">
        <v>610</v>
      </c>
      <c r="AB302" s="3" t="s">
        <v>469</v>
      </c>
      <c r="AC302" s="3"/>
      <c r="AD302" s="9" t="s">
        <v>633</v>
      </c>
    </row>
    <row r="303" spans="1:30" x14ac:dyDescent="0.3">
      <c r="A303" s="8">
        <f t="shared" si="4"/>
        <v>301</v>
      </c>
      <c r="B303" s="3" t="s">
        <v>21</v>
      </c>
      <c r="C303" s="3" t="s">
        <v>527</v>
      </c>
      <c r="D303" s="3" t="s">
        <v>304</v>
      </c>
      <c r="E303" s="3" t="s">
        <v>528</v>
      </c>
      <c r="F303" s="18">
        <v>1613</v>
      </c>
      <c r="G303" s="4">
        <v>46248</v>
      </c>
      <c r="H303" s="4"/>
      <c r="I303" s="3" t="s">
        <v>462</v>
      </c>
      <c r="J303" s="3" t="s">
        <v>28</v>
      </c>
      <c r="K303" s="3">
        <v>20</v>
      </c>
      <c r="L303" s="3">
        <v>200</v>
      </c>
      <c r="M303" s="3" t="s">
        <v>32</v>
      </c>
      <c r="N303" s="4">
        <v>46258</v>
      </c>
      <c r="O303" s="4">
        <v>46252</v>
      </c>
      <c r="P303" s="3" t="s">
        <v>219</v>
      </c>
      <c r="Q303" s="3" t="s">
        <v>29</v>
      </c>
      <c r="R303" s="3" t="s">
        <v>26</v>
      </c>
      <c r="S303" s="3"/>
      <c r="T303" s="3"/>
      <c r="U303" s="3" t="s">
        <v>308</v>
      </c>
      <c r="V303" s="3">
        <v>709</v>
      </c>
      <c r="W303" s="3">
        <v>0</v>
      </c>
      <c r="X303" s="3" t="s">
        <v>97</v>
      </c>
      <c r="Y303" s="3" t="s">
        <v>97</v>
      </c>
      <c r="Z303" s="4">
        <v>46250</v>
      </c>
      <c r="AA303" s="3" t="s">
        <v>308</v>
      </c>
      <c r="AB303" s="3" t="s">
        <v>472</v>
      </c>
      <c r="AC303" s="3" t="s">
        <v>629</v>
      </c>
      <c r="AD303" s="9" t="s">
        <v>633</v>
      </c>
    </row>
    <row r="304" spans="1:30" hidden="1" x14ac:dyDescent="0.3">
      <c r="A304" s="8">
        <f t="shared" si="4"/>
        <v>302</v>
      </c>
      <c r="B304" s="3" t="s">
        <v>21</v>
      </c>
      <c r="C304" s="3"/>
      <c r="D304" s="3" t="s">
        <v>529</v>
      </c>
      <c r="E304" s="3" t="s">
        <v>530</v>
      </c>
      <c r="F304" s="3">
        <v>1614</v>
      </c>
      <c r="G304" s="4">
        <v>46248</v>
      </c>
      <c r="H304" s="4"/>
      <c r="I304" s="3" t="s">
        <v>31</v>
      </c>
      <c r="J304" s="3" t="s">
        <v>28</v>
      </c>
      <c r="K304" s="3">
        <v>18</v>
      </c>
      <c r="L304" s="3">
        <v>360</v>
      </c>
      <c r="M304" s="3" t="s">
        <v>32</v>
      </c>
      <c r="N304" s="4">
        <v>46258</v>
      </c>
      <c r="O304" s="3"/>
      <c r="P304" s="3" t="s">
        <v>582</v>
      </c>
      <c r="Q304" s="3" t="s">
        <v>29</v>
      </c>
      <c r="R304" s="3" t="s">
        <v>26</v>
      </c>
      <c r="S304" s="3"/>
      <c r="T304" s="3"/>
      <c r="U304" s="3" t="s">
        <v>308</v>
      </c>
      <c r="V304" s="3">
        <v>709</v>
      </c>
      <c r="W304" s="3">
        <v>0</v>
      </c>
      <c r="X304" s="3" t="s">
        <v>582</v>
      </c>
      <c r="Y304" s="3" t="s">
        <v>582</v>
      </c>
      <c r="Z304" s="4">
        <v>46254</v>
      </c>
      <c r="AA304" s="3" t="s">
        <v>610</v>
      </c>
      <c r="AB304" s="3" t="s">
        <v>469</v>
      </c>
      <c r="AC304" s="3"/>
      <c r="AD304" s="9" t="s">
        <v>644</v>
      </c>
    </row>
    <row r="305" spans="1:30" x14ac:dyDescent="0.3">
      <c r="A305" s="8">
        <f t="shared" si="4"/>
        <v>303</v>
      </c>
      <c r="B305" s="3" t="s">
        <v>21</v>
      </c>
      <c r="C305" s="3" t="s">
        <v>531</v>
      </c>
      <c r="D305" s="3" t="s">
        <v>128</v>
      </c>
      <c r="E305" s="3" t="s">
        <v>532</v>
      </c>
      <c r="F305" s="18">
        <v>1615</v>
      </c>
      <c r="G305" s="4">
        <v>46248</v>
      </c>
      <c r="H305" s="4"/>
      <c r="I305" s="3" t="s">
        <v>335</v>
      </c>
      <c r="J305" s="3" t="s">
        <v>28</v>
      </c>
      <c r="K305" s="3">
        <v>25</v>
      </c>
      <c r="L305" s="3">
        <v>500</v>
      </c>
      <c r="M305" s="3" t="s">
        <v>32</v>
      </c>
      <c r="N305" s="4">
        <v>46254</v>
      </c>
      <c r="O305" s="4">
        <v>46251</v>
      </c>
      <c r="P305" s="3" t="s">
        <v>582</v>
      </c>
      <c r="Q305" s="3" t="s">
        <v>29</v>
      </c>
      <c r="R305" s="3" t="s">
        <v>26</v>
      </c>
      <c r="S305" s="3"/>
      <c r="T305" s="3"/>
      <c r="U305" s="3" t="s">
        <v>308</v>
      </c>
      <c r="V305" s="3">
        <v>709</v>
      </c>
      <c r="W305" s="3">
        <v>0</v>
      </c>
      <c r="X305" s="3" t="s">
        <v>582</v>
      </c>
      <c r="Y305" s="3" t="s">
        <v>582</v>
      </c>
      <c r="Z305" s="4">
        <v>46250</v>
      </c>
      <c r="AA305" s="3" t="s">
        <v>308</v>
      </c>
      <c r="AB305" s="3" t="s">
        <v>472</v>
      </c>
      <c r="AC305" s="3" t="s">
        <v>629</v>
      </c>
      <c r="AD305" s="9" t="s">
        <v>633</v>
      </c>
    </row>
    <row r="306" spans="1:30" hidden="1" x14ac:dyDescent="0.3">
      <c r="A306" s="8">
        <f t="shared" si="4"/>
        <v>304</v>
      </c>
      <c r="B306" s="3" t="s">
        <v>21</v>
      </c>
      <c r="C306" s="3" t="s">
        <v>533</v>
      </c>
      <c r="D306" s="3" t="s">
        <v>405</v>
      </c>
      <c r="E306" s="3" t="s">
        <v>534</v>
      </c>
      <c r="F306" s="3">
        <v>1616</v>
      </c>
      <c r="G306" s="4">
        <v>46248</v>
      </c>
      <c r="H306" s="4"/>
      <c r="I306" s="3" t="s">
        <v>335</v>
      </c>
      <c r="J306" s="3" t="s">
        <v>28</v>
      </c>
      <c r="K306" s="3">
        <v>25</v>
      </c>
      <c r="L306" s="3">
        <v>500</v>
      </c>
      <c r="M306" s="3" t="s">
        <v>32</v>
      </c>
      <c r="N306" s="4">
        <v>46259</v>
      </c>
      <c r="O306" s="4">
        <v>46259</v>
      </c>
      <c r="P306" s="3" t="s">
        <v>637</v>
      </c>
      <c r="Q306" s="3" t="s">
        <v>29</v>
      </c>
      <c r="R306" s="3" t="s">
        <v>26</v>
      </c>
      <c r="S306" s="3"/>
      <c r="T306" s="3"/>
      <c r="U306" s="3" t="s">
        <v>308</v>
      </c>
      <c r="V306" s="3">
        <v>709</v>
      </c>
      <c r="W306" s="3">
        <v>0</v>
      </c>
      <c r="X306" s="3" t="s">
        <v>637</v>
      </c>
      <c r="Y306" s="3" t="s">
        <v>637</v>
      </c>
      <c r="Z306" s="4">
        <v>46259</v>
      </c>
      <c r="AA306" s="3" t="s">
        <v>638</v>
      </c>
      <c r="AB306" s="3" t="s">
        <v>639</v>
      </c>
      <c r="AC306" s="3"/>
      <c r="AD306" s="9" t="s">
        <v>643</v>
      </c>
    </row>
    <row r="307" spans="1:30" x14ac:dyDescent="0.3">
      <c r="A307" s="8">
        <f t="shared" si="4"/>
        <v>305</v>
      </c>
      <c r="B307" s="3" t="s">
        <v>21</v>
      </c>
      <c r="C307" s="3" t="s">
        <v>249</v>
      </c>
      <c r="D307" s="3" t="s">
        <v>535</v>
      </c>
      <c r="E307" s="3" t="s">
        <v>536</v>
      </c>
      <c r="F307" s="3">
        <v>1617</v>
      </c>
      <c r="G307" s="4">
        <v>46248</v>
      </c>
      <c r="H307" s="4"/>
      <c r="I307" s="3" t="s">
        <v>462</v>
      </c>
      <c r="J307" s="3" t="s">
        <v>28</v>
      </c>
      <c r="K307" s="3">
        <v>20</v>
      </c>
      <c r="L307" s="3">
        <v>200</v>
      </c>
      <c r="M307" s="3" t="s">
        <v>32</v>
      </c>
      <c r="N307" s="4">
        <v>46254</v>
      </c>
      <c r="O307" s="4">
        <v>46251</v>
      </c>
      <c r="P307" s="3" t="s">
        <v>219</v>
      </c>
      <c r="Q307" s="3" t="s">
        <v>29</v>
      </c>
      <c r="R307" s="3" t="s">
        <v>26</v>
      </c>
      <c r="S307" s="3"/>
      <c r="T307" s="3"/>
      <c r="U307" s="3" t="s">
        <v>308</v>
      </c>
      <c r="V307" s="3">
        <v>709</v>
      </c>
      <c r="W307" s="3">
        <v>0</v>
      </c>
      <c r="X307" s="3" t="s">
        <v>97</v>
      </c>
      <c r="Y307" s="3" t="s">
        <v>97</v>
      </c>
      <c r="Z307" s="4">
        <v>46250</v>
      </c>
      <c r="AA307" s="3" t="s">
        <v>308</v>
      </c>
      <c r="AB307" s="3" t="s">
        <v>472</v>
      </c>
      <c r="AC307" s="3" t="s">
        <v>629</v>
      </c>
      <c r="AD307" s="9" t="s">
        <v>633</v>
      </c>
    </row>
    <row r="308" spans="1:30" x14ac:dyDescent="0.3">
      <c r="A308" s="8">
        <f t="shared" si="4"/>
        <v>306</v>
      </c>
      <c r="B308" s="3" t="s">
        <v>21</v>
      </c>
      <c r="C308" s="3" t="s">
        <v>72</v>
      </c>
      <c r="D308" s="3" t="s">
        <v>537</v>
      </c>
      <c r="E308" s="3" t="s">
        <v>538</v>
      </c>
      <c r="F308" s="3">
        <v>1618</v>
      </c>
      <c r="G308" s="4">
        <v>46248</v>
      </c>
      <c r="H308" s="4"/>
      <c r="I308" s="3" t="s">
        <v>462</v>
      </c>
      <c r="J308" s="3" t="s">
        <v>28</v>
      </c>
      <c r="K308" s="3">
        <v>50</v>
      </c>
      <c r="L308" s="3">
        <v>500</v>
      </c>
      <c r="M308" s="3" t="s">
        <v>32</v>
      </c>
      <c r="N308" s="4">
        <v>46254</v>
      </c>
      <c r="O308" s="4">
        <v>46251</v>
      </c>
      <c r="P308" s="3" t="s">
        <v>219</v>
      </c>
      <c r="Q308" s="3" t="s">
        <v>29</v>
      </c>
      <c r="R308" s="3" t="s">
        <v>26</v>
      </c>
      <c r="S308" s="3"/>
      <c r="T308" s="3"/>
      <c r="U308" s="3" t="s">
        <v>308</v>
      </c>
      <c r="V308" s="3">
        <v>709</v>
      </c>
      <c r="W308" s="3">
        <v>0</v>
      </c>
      <c r="X308" s="3" t="s">
        <v>97</v>
      </c>
      <c r="Y308" s="3" t="s">
        <v>97</v>
      </c>
      <c r="Z308" s="4">
        <v>46250</v>
      </c>
      <c r="AA308" s="3" t="s">
        <v>308</v>
      </c>
      <c r="AB308" s="3" t="s">
        <v>472</v>
      </c>
      <c r="AC308" s="3" t="s">
        <v>629</v>
      </c>
      <c r="AD308" s="9" t="s">
        <v>633</v>
      </c>
    </row>
    <row r="309" spans="1:30" hidden="1" x14ac:dyDescent="0.3">
      <c r="A309" s="8">
        <f t="shared" si="4"/>
        <v>307</v>
      </c>
      <c r="B309" s="3" t="s">
        <v>21</v>
      </c>
      <c r="C309" s="3" t="s">
        <v>539</v>
      </c>
      <c r="D309" s="3" t="s">
        <v>540</v>
      </c>
      <c r="E309" s="3" t="s">
        <v>542</v>
      </c>
      <c r="F309" s="3">
        <v>1619</v>
      </c>
      <c r="G309" s="4">
        <v>46248</v>
      </c>
      <c r="H309" s="4"/>
      <c r="I309" s="3" t="s">
        <v>335</v>
      </c>
      <c r="J309" s="3" t="s">
        <v>28</v>
      </c>
      <c r="K309" s="3">
        <v>50</v>
      </c>
      <c r="L309" s="3">
        <v>1000</v>
      </c>
      <c r="M309" s="3" t="s">
        <v>32</v>
      </c>
      <c r="N309" s="4">
        <v>46254</v>
      </c>
      <c r="O309" s="4">
        <v>46251</v>
      </c>
      <c r="P309" s="3" t="s">
        <v>25</v>
      </c>
      <c r="Q309" s="3" t="s">
        <v>29</v>
      </c>
      <c r="R309" s="3" t="s">
        <v>26</v>
      </c>
      <c r="S309" s="3"/>
      <c r="T309" s="3"/>
      <c r="U309" s="3" t="s">
        <v>308</v>
      </c>
      <c r="V309" s="3">
        <v>709</v>
      </c>
      <c r="W309" s="3">
        <v>0</v>
      </c>
      <c r="X309" s="3" t="s">
        <v>97</v>
      </c>
      <c r="Y309" s="3" t="s">
        <v>97</v>
      </c>
      <c r="Z309" s="4">
        <v>46250</v>
      </c>
      <c r="AA309" s="3"/>
      <c r="AB309" s="3"/>
      <c r="AC309" s="3"/>
      <c r="AD309" s="9"/>
    </row>
    <row r="310" spans="1:30" hidden="1" x14ac:dyDescent="0.3">
      <c r="A310" s="8">
        <f t="shared" si="4"/>
        <v>308</v>
      </c>
      <c r="B310" s="3" t="s">
        <v>21</v>
      </c>
      <c r="C310" s="3" t="s">
        <v>539</v>
      </c>
      <c r="D310" s="3" t="s">
        <v>540</v>
      </c>
      <c r="E310" s="3" t="s">
        <v>542</v>
      </c>
      <c r="F310" s="3">
        <v>1619</v>
      </c>
      <c r="G310" s="4">
        <v>46248</v>
      </c>
      <c r="H310" s="4"/>
      <c r="I310" s="3" t="s">
        <v>335</v>
      </c>
      <c r="J310" s="3" t="s">
        <v>28</v>
      </c>
      <c r="K310" s="3">
        <v>3</v>
      </c>
      <c r="L310" s="3">
        <v>60</v>
      </c>
      <c r="M310" s="3" t="s">
        <v>32</v>
      </c>
      <c r="N310" s="4">
        <v>46254</v>
      </c>
      <c r="O310" s="4">
        <v>46251</v>
      </c>
      <c r="P310" s="3" t="s">
        <v>25</v>
      </c>
      <c r="Q310" s="3" t="s">
        <v>29</v>
      </c>
      <c r="R310" s="3" t="s">
        <v>26</v>
      </c>
      <c r="S310" s="3"/>
      <c r="T310" s="3"/>
      <c r="U310" s="3" t="s">
        <v>308</v>
      </c>
      <c r="V310" s="3">
        <v>709</v>
      </c>
      <c r="W310" s="3">
        <v>0</v>
      </c>
      <c r="X310" s="3" t="s">
        <v>97</v>
      </c>
      <c r="Y310" s="3" t="s">
        <v>97</v>
      </c>
      <c r="Z310" s="4">
        <v>46250</v>
      </c>
      <c r="AA310" s="3"/>
      <c r="AB310" s="3"/>
      <c r="AC310" s="3"/>
      <c r="AD310" s="9"/>
    </row>
    <row r="311" spans="1:30" x14ac:dyDescent="0.3">
      <c r="A311" s="8">
        <f t="shared" si="4"/>
        <v>309</v>
      </c>
      <c r="B311" s="3" t="s">
        <v>21</v>
      </c>
      <c r="C311" s="3" t="s">
        <v>541</v>
      </c>
      <c r="D311" s="3" t="s">
        <v>21</v>
      </c>
      <c r="E311" s="3" t="s">
        <v>543</v>
      </c>
      <c r="F311" s="3">
        <v>1620</v>
      </c>
      <c r="G311" s="4">
        <v>46248</v>
      </c>
      <c r="H311" s="4"/>
      <c r="I311" s="3" t="s">
        <v>335</v>
      </c>
      <c r="J311" s="3" t="s">
        <v>28</v>
      </c>
      <c r="K311" s="3">
        <v>25</v>
      </c>
      <c r="L311" s="3">
        <v>500</v>
      </c>
      <c r="M311" s="3" t="s">
        <v>32</v>
      </c>
      <c r="N311" s="4">
        <v>46254</v>
      </c>
      <c r="O311" s="4">
        <v>46251</v>
      </c>
      <c r="P311" s="3" t="s">
        <v>219</v>
      </c>
      <c r="Q311" s="3" t="s">
        <v>29</v>
      </c>
      <c r="R311" s="3" t="s">
        <v>26</v>
      </c>
      <c r="S311" s="3"/>
      <c r="T311" s="3"/>
      <c r="U311" s="3" t="s">
        <v>308</v>
      </c>
      <c r="V311" s="3">
        <v>709</v>
      </c>
      <c r="W311" s="3">
        <v>0</v>
      </c>
      <c r="X311" s="3" t="s">
        <v>219</v>
      </c>
      <c r="Y311" s="3" t="s">
        <v>219</v>
      </c>
      <c r="Z311" s="4">
        <v>46250</v>
      </c>
      <c r="AA311" s="3" t="s">
        <v>308</v>
      </c>
      <c r="AB311" s="3" t="s">
        <v>472</v>
      </c>
      <c r="AC311" s="3" t="s">
        <v>629</v>
      </c>
      <c r="AD311" s="9" t="s">
        <v>633</v>
      </c>
    </row>
    <row r="312" spans="1:30" x14ac:dyDescent="0.3">
      <c r="A312" s="8">
        <f t="shared" si="4"/>
        <v>310</v>
      </c>
      <c r="B312" s="3" t="s">
        <v>21</v>
      </c>
      <c r="C312" s="3" t="s">
        <v>544</v>
      </c>
      <c r="D312" s="3" t="s">
        <v>545</v>
      </c>
      <c r="E312" s="3">
        <v>543906</v>
      </c>
      <c r="F312" s="18">
        <v>1623</v>
      </c>
      <c r="G312" s="4">
        <v>46248</v>
      </c>
      <c r="H312" s="4"/>
      <c r="I312" s="3" t="s">
        <v>335</v>
      </c>
      <c r="J312" s="3" t="s">
        <v>28</v>
      </c>
      <c r="K312" s="3">
        <v>108</v>
      </c>
      <c r="L312" s="3">
        <v>2160</v>
      </c>
      <c r="M312" s="3" t="s">
        <v>32</v>
      </c>
      <c r="N312" s="4">
        <v>46258</v>
      </c>
      <c r="O312" s="4">
        <v>46263</v>
      </c>
      <c r="P312" s="3" t="s">
        <v>219</v>
      </c>
      <c r="Q312" s="3" t="s">
        <v>29</v>
      </c>
      <c r="R312" s="3" t="s">
        <v>26</v>
      </c>
      <c r="S312" s="3"/>
      <c r="T312" s="3"/>
      <c r="U312" s="3" t="s">
        <v>308</v>
      </c>
      <c r="V312" s="3">
        <v>709</v>
      </c>
      <c r="W312" s="3">
        <v>0</v>
      </c>
      <c r="X312" s="3" t="s">
        <v>97</v>
      </c>
      <c r="Y312" s="3" t="s">
        <v>97</v>
      </c>
      <c r="Z312" s="4">
        <v>46254</v>
      </c>
      <c r="AA312" s="3" t="s">
        <v>610</v>
      </c>
      <c r="AB312" s="3" t="s">
        <v>469</v>
      </c>
      <c r="AC312" s="3"/>
      <c r="AD312" s="9" t="s">
        <v>633</v>
      </c>
    </row>
    <row r="313" spans="1:30" hidden="1" x14ac:dyDescent="0.3">
      <c r="A313" s="8">
        <f t="shared" si="4"/>
        <v>311</v>
      </c>
      <c r="B313" s="3" t="s">
        <v>21</v>
      </c>
      <c r="C313" s="3" t="s">
        <v>546</v>
      </c>
      <c r="D313" s="3" t="s">
        <v>547</v>
      </c>
      <c r="E313" s="3">
        <v>543907</v>
      </c>
      <c r="F313" s="3">
        <v>1624</v>
      </c>
      <c r="G313" s="4">
        <v>46248</v>
      </c>
      <c r="H313" s="4"/>
      <c r="I313" s="3" t="s">
        <v>335</v>
      </c>
      <c r="J313" s="3" t="s">
        <v>28</v>
      </c>
      <c r="K313" s="3">
        <v>53</v>
      </c>
      <c r="L313" s="3">
        <v>1060</v>
      </c>
      <c r="M313" s="3" t="s">
        <v>32</v>
      </c>
      <c r="N313" s="4">
        <v>46259</v>
      </c>
      <c r="O313" s="4">
        <v>46259</v>
      </c>
      <c r="P313" s="3" t="s">
        <v>637</v>
      </c>
      <c r="Q313" s="3" t="s">
        <v>29</v>
      </c>
      <c r="R313" s="3" t="s">
        <v>26</v>
      </c>
      <c r="S313" s="3"/>
      <c r="T313" s="3"/>
      <c r="U313" s="3" t="s">
        <v>308</v>
      </c>
      <c r="V313" s="3">
        <v>709</v>
      </c>
      <c r="W313" s="3">
        <v>0</v>
      </c>
      <c r="X313" s="3" t="s">
        <v>637</v>
      </c>
      <c r="Y313" s="3" t="s">
        <v>637</v>
      </c>
      <c r="Z313" s="4">
        <v>46259</v>
      </c>
      <c r="AA313" s="3" t="s">
        <v>638</v>
      </c>
      <c r="AB313" s="3" t="s">
        <v>639</v>
      </c>
      <c r="AC313" s="3"/>
      <c r="AD313" s="9" t="s">
        <v>643</v>
      </c>
    </row>
    <row r="314" spans="1:30" hidden="1" x14ac:dyDescent="0.3">
      <c r="A314" s="8">
        <f t="shared" si="4"/>
        <v>312</v>
      </c>
      <c r="B314" s="3" t="s">
        <v>21</v>
      </c>
      <c r="C314" s="3" t="s">
        <v>548</v>
      </c>
      <c r="D314" s="3" t="s">
        <v>547</v>
      </c>
      <c r="E314" s="3">
        <v>543908</v>
      </c>
      <c r="F314" s="3">
        <v>1625</v>
      </c>
      <c r="G314" s="4">
        <v>46248</v>
      </c>
      <c r="H314" s="4"/>
      <c r="I314" s="3" t="s">
        <v>335</v>
      </c>
      <c r="J314" s="3" t="s">
        <v>28</v>
      </c>
      <c r="K314" s="3">
        <v>53</v>
      </c>
      <c r="L314" s="3">
        <v>1060</v>
      </c>
      <c r="M314" s="3" t="s">
        <v>32</v>
      </c>
      <c r="N314" s="4">
        <v>46259</v>
      </c>
      <c r="O314" s="4">
        <v>46259</v>
      </c>
      <c r="P314" s="3" t="s">
        <v>637</v>
      </c>
      <c r="Q314" s="3" t="s">
        <v>29</v>
      </c>
      <c r="R314" s="3" t="s">
        <v>26</v>
      </c>
      <c r="S314" s="3"/>
      <c r="T314" s="3"/>
      <c r="U314" s="3" t="s">
        <v>308</v>
      </c>
      <c r="V314" s="3">
        <v>709</v>
      </c>
      <c r="W314" s="3">
        <v>0</v>
      </c>
      <c r="X314" s="3" t="s">
        <v>637</v>
      </c>
      <c r="Y314" s="3" t="s">
        <v>637</v>
      </c>
      <c r="Z314" s="4">
        <v>46259</v>
      </c>
      <c r="AA314" s="3" t="s">
        <v>638</v>
      </c>
      <c r="AB314" s="3" t="s">
        <v>639</v>
      </c>
      <c r="AC314" s="3"/>
      <c r="AD314" s="9" t="s">
        <v>643</v>
      </c>
    </row>
    <row r="315" spans="1:30" x14ac:dyDescent="0.3">
      <c r="A315" s="8">
        <f t="shared" si="4"/>
        <v>313</v>
      </c>
      <c r="B315" s="3" t="s">
        <v>21</v>
      </c>
      <c r="C315" s="3" t="s">
        <v>549</v>
      </c>
      <c r="D315" s="3" t="s">
        <v>111</v>
      </c>
      <c r="E315" s="3">
        <v>22821</v>
      </c>
      <c r="F315" s="18">
        <v>1621</v>
      </c>
      <c r="G315" s="4">
        <v>46248</v>
      </c>
      <c r="H315" s="4"/>
      <c r="I315" s="3" t="s">
        <v>335</v>
      </c>
      <c r="J315" s="3" t="s">
        <v>28</v>
      </c>
      <c r="K315" s="3">
        <v>447</v>
      </c>
      <c r="L315" s="3">
        <f>K315*20</f>
        <v>8940</v>
      </c>
      <c r="M315" s="3" t="s">
        <v>96</v>
      </c>
      <c r="N315" s="4">
        <v>46262</v>
      </c>
      <c r="O315" s="4">
        <v>46254</v>
      </c>
      <c r="P315" s="3" t="s">
        <v>219</v>
      </c>
      <c r="Q315" s="3" t="s">
        <v>29</v>
      </c>
      <c r="R315" s="3" t="s">
        <v>26</v>
      </c>
      <c r="S315" s="3"/>
      <c r="T315" s="3"/>
      <c r="U315" s="3" t="s">
        <v>634</v>
      </c>
      <c r="V315" s="3">
        <v>709</v>
      </c>
      <c r="W315" s="3">
        <v>0</v>
      </c>
      <c r="X315" s="3" t="s">
        <v>97</v>
      </c>
      <c r="Y315" s="3" t="s">
        <v>97</v>
      </c>
      <c r="Z315" s="4">
        <v>46250</v>
      </c>
      <c r="AA315" s="3" t="s">
        <v>634</v>
      </c>
      <c r="AB315" s="3"/>
      <c r="AC315" s="3"/>
      <c r="AD315" s="9" t="s">
        <v>633</v>
      </c>
    </row>
    <row r="316" spans="1:30" x14ac:dyDescent="0.3">
      <c r="A316" s="8">
        <f t="shared" si="4"/>
        <v>314</v>
      </c>
      <c r="B316" s="3" t="s">
        <v>21</v>
      </c>
      <c r="C316" s="3" t="s">
        <v>549</v>
      </c>
      <c r="D316" s="3" t="s">
        <v>111</v>
      </c>
      <c r="E316" s="3">
        <v>22822</v>
      </c>
      <c r="F316" s="18">
        <v>1622</v>
      </c>
      <c r="G316" s="4">
        <v>46248</v>
      </c>
      <c r="H316" s="4"/>
      <c r="I316" s="3" t="s">
        <v>31</v>
      </c>
      <c r="J316" s="3" t="s">
        <v>28</v>
      </c>
      <c r="K316" s="3">
        <v>24</v>
      </c>
      <c r="L316" s="3">
        <v>480</v>
      </c>
      <c r="M316" s="3" t="s">
        <v>96</v>
      </c>
      <c r="N316" s="4">
        <v>46262</v>
      </c>
      <c r="O316" s="4">
        <v>46254</v>
      </c>
      <c r="P316" s="3" t="s">
        <v>219</v>
      </c>
      <c r="Q316" s="3" t="s">
        <v>29</v>
      </c>
      <c r="R316" s="3" t="s">
        <v>26</v>
      </c>
      <c r="S316" s="3"/>
      <c r="T316" s="3"/>
      <c r="U316" s="3" t="s">
        <v>634</v>
      </c>
      <c r="V316" s="3">
        <v>709</v>
      </c>
      <c r="W316" s="3">
        <v>0</v>
      </c>
      <c r="X316" s="3" t="s">
        <v>97</v>
      </c>
      <c r="Y316" s="3" t="s">
        <v>97</v>
      </c>
      <c r="Z316" s="4">
        <v>46250</v>
      </c>
      <c r="AA316" s="3" t="s">
        <v>634</v>
      </c>
      <c r="AB316" s="3"/>
      <c r="AC316" s="3"/>
      <c r="AD316" s="9" t="s">
        <v>633</v>
      </c>
    </row>
    <row r="317" spans="1:30" hidden="1" x14ac:dyDescent="0.3">
      <c r="A317" s="8">
        <f t="shared" si="4"/>
        <v>315</v>
      </c>
      <c r="B317" s="3" t="s">
        <v>21</v>
      </c>
      <c r="C317" s="3" t="s">
        <v>550</v>
      </c>
      <c r="D317" s="3" t="s">
        <v>387</v>
      </c>
      <c r="E317" s="3"/>
      <c r="F317" s="3">
        <v>1627</v>
      </c>
      <c r="G317" s="4">
        <v>46251</v>
      </c>
      <c r="H317" s="4"/>
      <c r="I317" s="3" t="s">
        <v>590</v>
      </c>
      <c r="J317" s="3" t="s">
        <v>28</v>
      </c>
      <c r="K317" s="3">
        <v>30</v>
      </c>
      <c r="L317" s="3">
        <v>6300</v>
      </c>
      <c r="M317" s="3" t="s">
        <v>96</v>
      </c>
      <c r="N317" s="4">
        <v>46254</v>
      </c>
      <c r="O317" s="4">
        <v>46251</v>
      </c>
      <c r="P317" s="3" t="s">
        <v>219</v>
      </c>
      <c r="Q317" s="3" t="s">
        <v>29</v>
      </c>
      <c r="R317" s="3" t="s">
        <v>26</v>
      </c>
      <c r="S317" s="3"/>
      <c r="T317" s="3"/>
      <c r="U317" s="3" t="s">
        <v>552</v>
      </c>
      <c r="V317" s="3">
        <v>709</v>
      </c>
      <c r="W317" s="3">
        <v>0</v>
      </c>
      <c r="X317" s="3" t="s">
        <v>97</v>
      </c>
      <c r="Y317" s="3" t="s">
        <v>97</v>
      </c>
      <c r="Z317" s="4">
        <v>46251</v>
      </c>
      <c r="AA317" s="3" t="s">
        <v>552</v>
      </c>
      <c r="AB317" s="3" t="s">
        <v>471</v>
      </c>
      <c r="AC317" s="3" t="s">
        <v>624</v>
      </c>
      <c r="AD317" s="7" t="s">
        <v>633</v>
      </c>
    </row>
    <row r="318" spans="1:30" hidden="1" x14ac:dyDescent="0.3">
      <c r="A318" s="8">
        <f t="shared" si="4"/>
        <v>316</v>
      </c>
      <c r="B318" s="3" t="s">
        <v>21</v>
      </c>
      <c r="C318" s="3" t="s">
        <v>550</v>
      </c>
      <c r="D318" s="3" t="s">
        <v>551</v>
      </c>
      <c r="E318" s="3"/>
      <c r="F318" s="3">
        <v>1628</v>
      </c>
      <c r="G318" s="4">
        <v>46251</v>
      </c>
      <c r="H318" s="4"/>
      <c r="I318" s="3" t="s">
        <v>590</v>
      </c>
      <c r="J318" s="3" t="s">
        <v>28</v>
      </c>
      <c r="K318" s="3">
        <v>30</v>
      </c>
      <c r="L318" s="3">
        <v>6300</v>
      </c>
      <c r="M318" s="3" t="s">
        <v>32</v>
      </c>
      <c r="N318" s="4">
        <v>46254</v>
      </c>
      <c r="O318" s="4">
        <v>46251</v>
      </c>
      <c r="P318" s="3" t="s">
        <v>219</v>
      </c>
      <c r="Q318" s="3" t="s">
        <v>29</v>
      </c>
      <c r="R318" s="3" t="s">
        <v>26</v>
      </c>
      <c r="S318" s="3"/>
      <c r="T318" s="3"/>
      <c r="U318" s="3" t="s">
        <v>553</v>
      </c>
      <c r="V318" s="3">
        <v>709</v>
      </c>
      <c r="W318" s="3">
        <v>0</v>
      </c>
      <c r="X318" s="3" t="s">
        <v>97</v>
      </c>
      <c r="Y318" s="3" t="s">
        <v>97</v>
      </c>
      <c r="Z318" s="4">
        <v>46251</v>
      </c>
      <c r="AA318" s="3" t="s">
        <v>553</v>
      </c>
      <c r="AB318" s="3"/>
      <c r="AC318" s="3"/>
      <c r="AD318" s="9" t="s">
        <v>633</v>
      </c>
    </row>
    <row r="319" spans="1:30" x14ac:dyDescent="0.3">
      <c r="A319" s="8">
        <f t="shared" si="4"/>
        <v>317</v>
      </c>
      <c r="B319" s="3" t="s">
        <v>21</v>
      </c>
      <c r="C319" s="3" t="s">
        <v>386</v>
      </c>
      <c r="D319" s="3" t="s">
        <v>554</v>
      </c>
      <c r="E319" s="3">
        <v>716286940</v>
      </c>
      <c r="F319" s="3">
        <v>1628</v>
      </c>
      <c r="G319" s="4">
        <v>46249</v>
      </c>
      <c r="H319" s="4"/>
      <c r="I319" s="3" t="s">
        <v>555</v>
      </c>
      <c r="J319" s="3" t="s">
        <v>28</v>
      </c>
      <c r="K319" s="3">
        <v>30</v>
      </c>
      <c r="L319" s="3">
        <v>6300</v>
      </c>
      <c r="M319" s="3" t="s">
        <v>96</v>
      </c>
      <c r="N319" s="4">
        <v>46251</v>
      </c>
      <c r="O319" s="4">
        <v>46252</v>
      </c>
      <c r="P319" s="3" t="s">
        <v>219</v>
      </c>
      <c r="Q319" s="3" t="s">
        <v>29</v>
      </c>
      <c r="R319" s="3" t="s">
        <v>26</v>
      </c>
      <c r="S319" s="3"/>
      <c r="T319" s="3"/>
      <c r="U319" s="3" t="s">
        <v>308</v>
      </c>
      <c r="V319" s="3">
        <v>709</v>
      </c>
      <c r="W319" s="3">
        <v>0</v>
      </c>
      <c r="X319" s="3" t="s">
        <v>97</v>
      </c>
      <c r="Y319" s="3" t="s">
        <v>97</v>
      </c>
      <c r="Z319" s="4">
        <v>46251</v>
      </c>
      <c r="AA319" s="3" t="s">
        <v>553</v>
      </c>
      <c r="AB319" s="3"/>
      <c r="AC319" s="3"/>
      <c r="AD319" s="9" t="s">
        <v>633</v>
      </c>
    </row>
    <row r="320" spans="1:30" x14ac:dyDescent="0.3">
      <c r="A320" s="8">
        <f t="shared" si="4"/>
        <v>318</v>
      </c>
      <c r="B320" s="3" t="s">
        <v>21</v>
      </c>
      <c r="C320" s="3" t="s">
        <v>176</v>
      </c>
      <c r="D320" s="3" t="s">
        <v>556</v>
      </c>
      <c r="E320" s="3">
        <v>2730304802</v>
      </c>
      <c r="F320" s="3">
        <v>1567</v>
      </c>
      <c r="G320" s="4">
        <v>46246</v>
      </c>
      <c r="H320" s="4"/>
      <c r="I320" s="3" t="s">
        <v>555</v>
      </c>
      <c r="J320" s="3" t="s">
        <v>28</v>
      </c>
      <c r="K320" s="3">
        <v>15</v>
      </c>
      <c r="L320" s="3">
        <v>300</v>
      </c>
      <c r="M320" s="3" t="s">
        <v>32</v>
      </c>
      <c r="N320" s="4">
        <v>46256</v>
      </c>
      <c r="O320" s="4">
        <v>46254</v>
      </c>
      <c r="P320" s="3" t="s">
        <v>219</v>
      </c>
      <c r="Q320" s="3" t="s">
        <v>29</v>
      </c>
      <c r="R320" s="3" t="s">
        <v>26</v>
      </c>
      <c r="S320" s="3"/>
      <c r="T320" s="3"/>
      <c r="U320" s="3" t="s">
        <v>308</v>
      </c>
      <c r="V320" s="3">
        <v>709</v>
      </c>
      <c r="W320" s="3">
        <v>0</v>
      </c>
      <c r="X320" s="3" t="s">
        <v>97</v>
      </c>
      <c r="Y320" s="3" t="s">
        <v>97</v>
      </c>
      <c r="Z320" s="3" t="s">
        <v>600</v>
      </c>
      <c r="AA320" s="3" t="s">
        <v>585</v>
      </c>
      <c r="AB320" s="3"/>
      <c r="AC320" s="3"/>
      <c r="AD320" s="9" t="s">
        <v>633</v>
      </c>
    </row>
    <row r="321" spans="1:30" x14ac:dyDescent="0.3">
      <c r="A321" s="8">
        <f t="shared" si="4"/>
        <v>319</v>
      </c>
      <c r="B321" s="3" t="s">
        <v>21</v>
      </c>
      <c r="C321" s="3" t="s">
        <v>386</v>
      </c>
      <c r="D321" s="3" t="s">
        <v>387</v>
      </c>
      <c r="E321" s="3">
        <v>716206900</v>
      </c>
      <c r="F321" s="18">
        <v>1568</v>
      </c>
      <c r="G321" s="4">
        <v>46246</v>
      </c>
      <c r="H321" s="4"/>
      <c r="I321" s="3" t="s">
        <v>555</v>
      </c>
      <c r="J321" s="3" t="s">
        <v>28</v>
      </c>
      <c r="K321" s="3">
        <v>13</v>
      </c>
      <c r="L321" s="3">
        <v>260</v>
      </c>
      <c r="M321" s="3" t="s">
        <v>32</v>
      </c>
      <c r="N321" s="4">
        <v>46255</v>
      </c>
      <c r="O321" s="4">
        <v>46255</v>
      </c>
      <c r="P321" s="3" t="s">
        <v>219</v>
      </c>
      <c r="Q321" s="3" t="s">
        <v>29</v>
      </c>
      <c r="R321" s="3" t="s">
        <v>26</v>
      </c>
      <c r="S321" s="3"/>
      <c r="T321" s="3"/>
      <c r="U321" s="3" t="s">
        <v>308</v>
      </c>
      <c r="V321" s="3">
        <v>709</v>
      </c>
      <c r="W321" s="3">
        <v>0</v>
      </c>
      <c r="X321" s="3" t="s">
        <v>97</v>
      </c>
      <c r="Y321" s="3" t="s">
        <v>97</v>
      </c>
      <c r="Z321" s="4">
        <v>46254</v>
      </c>
      <c r="AA321" s="3" t="s">
        <v>593</v>
      </c>
      <c r="AB321" s="3" t="s">
        <v>594</v>
      </c>
      <c r="AC321" s="3" t="s">
        <v>632</v>
      </c>
      <c r="AD321" s="9" t="s">
        <v>633</v>
      </c>
    </row>
    <row r="322" spans="1:30" x14ac:dyDescent="0.3">
      <c r="A322" s="8">
        <f t="shared" si="4"/>
        <v>320</v>
      </c>
      <c r="B322" s="3" t="s">
        <v>21</v>
      </c>
      <c r="C322" s="3" t="s">
        <v>386</v>
      </c>
      <c r="D322" s="3" t="s">
        <v>557</v>
      </c>
      <c r="E322" s="3">
        <v>716286945</v>
      </c>
      <c r="F322" s="3">
        <v>1569</v>
      </c>
      <c r="G322" s="4">
        <v>46246</v>
      </c>
      <c r="H322" s="4"/>
      <c r="I322" s="3" t="s">
        <v>555</v>
      </c>
      <c r="J322" s="3" t="s">
        <v>28</v>
      </c>
      <c r="K322" s="3">
        <v>10</v>
      </c>
      <c r="L322" s="3">
        <v>200</v>
      </c>
      <c r="M322" s="3" t="s">
        <v>32</v>
      </c>
      <c r="N322" s="4">
        <v>46256</v>
      </c>
      <c r="O322" s="4">
        <v>46260</v>
      </c>
      <c r="P322" s="3" t="s">
        <v>219</v>
      </c>
      <c r="Q322" s="3" t="s">
        <v>29</v>
      </c>
      <c r="R322" s="3" t="s">
        <v>26</v>
      </c>
      <c r="S322" s="3"/>
      <c r="T322" s="3"/>
      <c r="U322" s="3" t="s">
        <v>308</v>
      </c>
      <c r="V322" s="3">
        <v>709</v>
      </c>
      <c r="W322" s="3">
        <v>0</v>
      </c>
      <c r="X322" s="3" t="s">
        <v>97</v>
      </c>
      <c r="Y322" s="3" t="s">
        <v>97</v>
      </c>
      <c r="Z322" s="3" t="s">
        <v>600</v>
      </c>
      <c r="AA322" s="3" t="s">
        <v>585</v>
      </c>
      <c r="AB322" s="3"/>
      <c r="AC322" s="3"/>
      <c r="AD322" s="9" t="s">
        <v>633</v>
      </c>
    </row>
    <row r="323" spans="1:30" hidden="1" x14ac:dyDescent="0.3">
      <c r="A323" s="8">
        <f t="shared" si="4"/>
        <v>321</v>
      </c>
      <c r="B323" s="3" t="s">
        <v>21</v>
      </c>
      <c r="C323" s="3" t="s">
        <v>386</v>
      </c>
      <c r="D323" s="3" t="s">
        <v>558</v>
      </c>
      <c r="E323" s="3">
        <v>716286940</v>
      </c>
      <c r="F323" s="3">
        <v>1570</v>
      </c>
      <c r="G323" s="4">
        <v>46246</v>
      </c>
      <c r="H323" s="4"/>
      <c r="I323" s="3" t="s">
        <v>555</v>
      </c>
      <c r="J323" s="3" t="s">
        <v>28</v>
      </c>
      <c r="K323" s="3">
        <v>20</v>
      </c>
      <c r="L323" s="3">
        <v>400</v>
      </c>
      <c r="M323" s="3" t="s">
        <v>32</v>
      </c>
      <c r="N323" s="4">
        <v>46259</v>
      </c>
      <c r="O323" s="4">
        <v>46259</v>
      </c>
      <c r="P323" s="3" t="s">
        <v>637</v>
      </c>
      <c r="Q323" s="3" t="s">
        <v>29</v>
      </c>
      <c r="R323" s="3" t="s">
        <v>26</v>
      </c>
      <c r="S323" s="3"/>
      <c r="T323" s="3"/>
      <c r="U323" s="3" t="s">
        <v>308</v>
      </c>
      <c r="V323" s="3">
        <v>709</v>
      </c>
      <c r="W323" s="3">
        <v>0</v>
      </c>
      <c r="X323" s="3" t="s">
        <v>637</v>
      </c>
      <c r="Y323" s="3" t="s">
        <v>637</v>
      </c>
      <c r="Z323" s="4">
        <v>46259</v>
      </c>
      <c r="AA323" s="3" t="s">
        <v>638</v>
      </c>
      <c r="AB323" s="3" t="s">
        <v>639</v>
      </c>
      <c r="AC323" s="3"/>
      <c r="AD323" s="9" t="s">
        <v>643</v>
      </c>
    </row>
    <row r="324" spans="1:30" x14ac:dyDescent="0.3">
      <c r="A324" s="8">
        <f t="shared" si="4"/>
        <v>322</v>
      </c>
      <c r="B324" s="3" t="s">
        <v>21</v>
      </c>
      <c r="C324" s="3" t="s">
        <v>386</v>
      </c>
      <c r="D324" s="3" t="s">
        <v>559</v>
      </c>
      <c r="E324" s="3">
        <v>716268944</v>
      </c>
      <c r="F324" s="3">
        <v>1571</v>
      </c>
      <c r="G324" s="4">
        <v>46246</v>
      </c>
      <c r="H324" s="4"/>
      <c r="I324" s="3" t="s">
        <v>555</v>
      </c>
      <c r="J324" s="3" t="s">
        <v>28</v>
      </c>
      <c r="K324" s="3">
        <v>10</v>
      </c>
      <c r="L324" s="3">
        <v>200</v>
      </c>
      <c r="M324" s="3" t="s">
        <v>32</v>
      </c>
      <c r="N324" s="4">
        <v>46256</v>
      </c>
      <c r="O324" s="4">
        <v>46262</v>
      </c>
      <c r="P324" s="3" t="s">
        <v>219</v>
      </c>
      <c r="Q324" s="3" t="s">
        <v>29</v>
      </c>
      <c r="R324" s="3" t="s">
        <v>26</v>
      </c>
      <c r="S324" s="3"/>
      <c r="T324" s="3"/>
      <c r="U324" s="3" t="s">
        <v>308</v>
      </c>
      <c r="V324" s="3">
        <v>709</v>
      </c>
      <c r="W324" s="3">
        <v>0</v>
      </c>
      <c r="X324" s="3" t="s">
        <v>97</v>
      </c>
      <c r="Y324" s="3" t="s">
        <v>97</v>
      </c>
      <c r="Z324" s="4">
        <v>46254</v>
      </c>
      <c r="AA324" s="3" t="s">
        <v>591</v>
      </c>
      <c r="AB324" s="3" t="s">
        <v>592</v>
      </c>
      <c r="AC324" s="3" t="s">
        <v>620</v>
      </c>
      <c r="AD324" s="9" t="s">
        <v>633</v>
      </c>
    </row>
    <row r="325" spans="1:30" x14ac:dyDescent="0.3">
      <c r="A325" s="8">
        <f t="shared" ref="A325:A342" si="5">A324+1</f>
        <v>323</v>
      </c>
      <c r="B325" s="3" t="s">
        <v>21</v>
      </c>
      <c r="C325" s="3" t="s">
        <v>560</v>
      </c>
      <c r="D325" s="3" t="s">
        <v>561</v>
      </c>
      <c r="E325" s="3">
        <v>716287125</v>
      </c>
      <c r="F325" s="18">
        <v>1572</v>
      </c>
      <c r="G325" s="4">
        <v>46246</v>
      </c>
      <c r="H325" s="4"/>
      <c r="I325" s="3" t="s">
        <v>555</v>
      </c>
      <c r="J325" s="3" t="s">
        <v>28</v>
      </c>
      <c r="K325" s="3">
        <v>1</v>
      </c>
      <c r="L325" s="3">
        <v>20</v>
      </c>
      <c r="M325" s="3" t="s">
        <v>32</v>
      </c>
      <c r="N325" s="4">
        <v>46258</v>
      </c>
      <c r="O325" s="4">
        <v>46263</v>
      </c>
      <c r="P325" s="3" t="s">
        <v>219</v>
      </c>
      <c r="Q325" s="3" t="s">
        <v>29</v>
      </c>
      <c r="R325" s="3" t="s">
        <v>26</v>
      </c>
      <c r="S325" s="3"/>
      <c r="T325" s="3"/>
      <c r="U325" s="3" t="s">
        <v>308</v>
      </c>
      <c r="V325" s="3">
        <v>709</v>
      </c>
      <c r="W325" s="3">
        <v>0</v>
      </c>
      <c r="X325" s="3" t="s">
        <v>97</v>
      </c>
      <c r="Y325" s="3" t="s">
        <v>97</v>
      </c>
      <c r="Z325" s="4">
        <v>46254</v>
      </c>
      <c r="AA325" s="3" t="s">
        <v>610</v>
      </c>
      <c r="AB325" s="3" t="s">
        <v>469</v>
      </c>
      <c r="AC325" s="3"/>
      <c r="AD325" s="9" t="s">
        <v>633</v>
      </c>
    </row>
    <row r="326" spans="1:30" x14ac:dyDescent="0.3">
      <c r="A326" s="8">
        <f t="shared" si="5"/>
        <v>324</v>
      </c>
      <c r="B326" s="3" t="s">
        <v>21</v>
      </c>
      <c r="C326" s="3" t="s">
        <v>562</v>
      </c>
      <c r="D326" s="3" t="s">
        <v>563</v>
      </c>
      <c r="E326" s="3">
        <v>716287127</v>
      </c>
      <c r="F326" s="3">
        <v>1574</v>
      </c>
      <c r="G326" s="4">
        <v>46246</v>
      </c>
      <c r="H326" s="4"/>
      <c r="I326" s="3" t="s">
        <v>555</v>
      </c>
      <c r="J326" s="3" t="s">
        <v>28</v>
      </c>
      <c r="K326" s="3">
        <v>5</v>
      </c>
      <c r="L326" s="3">
        <v>100</v>
      </c>
      <c r="M326" s="3" t="s">
        <v>32</v>
      </c>
      <c r="N326" s="4">
        <v>46262</v>
      </c>
      <c r="O326" s="4">
        <v>46258</v>
      </c>
      <c r="P326" s="3" t="s">
        <v>219</v>
      </c>
      <c r="Q326" s="3" t="s">
        <v>29</v>
      </c>
      <c r="R326" s="3" t="s">
        <v>26</v>
      </c>
      <c r="S326" s="3"/>
      <c r="T326" s="3"/>
      <c r="U326" s="3" t="s">
        <v>308</v>
      </c>
      <c r="V326" s="3">
        <v>709</v>
      </c>
      <c r="W326" s="3">
        <v>0</v>
      </c>
      <c r="X326" s="3" t="s">
        <v>97</v>
      </c>
      <c r="Y326" s="3" t="s">
        <v>97</v>
      </c>
      <c r="Z326" s="4">
        <v>46253</v>
      </c>
      <c r="AA326" s="3" t="s">
        <v>363</v>
      </c>
      <c r="AB326" s="3" t="s">
        <v>472</v>
      </c>
      <c r="AC326" s="3" t="s">
        <v>631</v>
      </c>
      <c r="AD326" s="9" t="s">
        <v>633</v>
      </c>
    </row>
    <row r="327" spans="1:30" hidden="1" x14ac:dyDescent="0.3">
      <c r="A327" s="8">
        <f t="shared" si="5"/>
        <v>325</v>
      </c>
      <c r="B327" s="3" t="s">
        <v>21</v>
      </c>
      <c r="C327" s="3" t="s">
        <v>564</v>
      </c>
      <c r="D327" s="3" t="s">
        <v>565</v>
      </c>
      <c r="E327" s="3">
        <v>716287013</v>
      </c>
      <c r="F327" s="3">
        <v>1575</v>
      </c>
      <c r="G327" s="4">
        <v>46246</v>
      </c>
      <c r="H327" s="4"/>
      <c r="I327" s="3" t="s">
        <v>555</v>
      </c>
      <c r="J327" s="3" t="s">
        <v>28</v>
      </c>
      <c r="K327" s="3">
        <v>3</v>
      </c>
      <c r="L327" s="3">
        <v>60</v>
      </c>
      <c r="M327" s="3" t="s">
        <v>32</v>
      </c>
      <c r="N327" s="4">
        <v>46259</v>
      </c>
      <c r="O327" s="4">
        <v>46259</v>
      </c>
      <c r="P327" s="3" t="s">
        <v>637</v>
      </c>
      <c r="Q327" s="3" t="s">
        <v>29</v>
      </c>
      <c r="R327" s="3" t="s">
        <v>26</v>
      </c>
      <c r="S327" s="3"/>
      <c r="T327" s="3"/>
      <c r="U327" s="3" t="s">
        <v>308</v>
      </c>
      <c r="V327" s="3">
        <v>709</v>
      </c>
      <c r="W327" s="3">
        <v>0</v>
      </c>
      <c r="X327" s="3" t="s">
        <v>637</v>
      </c>
      <c r="Y327" s="3" t="s">
        <v>637</v>
      </c>
      <c r="Z327" s="4">
        <v>46259</v>
      </c>
      <c r="AA327" s="3" t="s">
        <v>638</v>
      </c>
      <c r="AB327" s="3" t="s">
        <v>639</v>
      </c>
      <c r="AC327" s="3"/>
      <c r="AD327" s="9" t="s">
        <v>643</v>
      </c>
    </row>
    <row r="328" spans="1:30" hidden="1" x14ac:dyDescent="0.3">
      <c r="A328" s="8">
        <f t="shared" si="5"/>
        <v>326</v>
      </c>
      <c r="B328" s="3" t="s">
        <v>21</v>
      </c>
      <c r="C328" s="3" t="s">
        <v>566</v>
      </c>
      <c r="D328" s="3" t="s">
        <v>567</v>
      </c>
      <c r="E328" s="3">
        <v>543963</v>
      </c>
      <c r="F328" s="3">
        <v>1630</v>
      </c>
      <c r="G328" s="4">
        <v>46252</v>
      </c>
      <c r="H328" s="4"/>
      <c r="I328" s="3" t="s">
        <v>568</v>
      </c>
      <c r="J328" s="3" t="s">
        <v>28</v>
      </c>
      <c r="K328" s="3">
        <v>26</v>
      </c>
      <c r="L328" s="3">
        <v>520</v>
      </c>
      <c r="M328" s="3" t="s">
        <v>32</v>
      </c>
      <c r="N328" s="4">
        <v>46252</v>
      </c>
      <c r="O328" s="4">
        <v>46256</v>
      </c>
      <c r="P328" s="3" t="s">
        <v>219</v>
      </c>
      <c r="Q328" s="3" t="s">
        <v>29</v>
      </c>
      <c r="R328" s="3" t="s">
        <v>26</v>
      </c>
      <c r="S328" s="3"/>
      <c r="T328" s="3"/>
      <c r="U328" s="3" t="s">
        <v>363</v>
      </c>
      <c r="V328" s="3">
        <v>709</v>
      </c>
      <c r="W328" s="3">
        <v>0</v>
      </c>
      <c r="X328" s="3" t="s">
        <v>97</v>
      </c>
      <c r="Y328" s="3" t="s">
        <v>97</v>
      </c>
      <c r="Z328" s="4">
        <v>46256</v>
      </c>
      <c r="AA328" s="3" t="s">
        <v>308</v>
      </c>
      <c r="AB328" s="3" t="s">
        <v>472</v>
      </c>
      <c r="AC328" s="3"/>
      <c r="AD328" s="9" t="s">
        <v>633</v>
      </c>
    </row>
    <row r="329" spans="1:30" hidden="1" x14ac:dyDescent="0.3">
      <c r="A329" s="8">
        <f t="shared" si="5"/>
        <v>327</v>
      </c>
      <c r="B329" s="3" t="s">
        <v>21</v>
      </c>
      <c r="C329" s="3" t="s">
        <v>569</v>
      </c>
      <c r="D329" s="3" t="s">
        <v>570</v>
      </c>
      <c r="E329" s="3">
        <v>543962</v>
      </c>
      <c r="F329" s="3">
        <v>1631</v>
      </c>
      <c r="G329" s="4">
        <v>46252</v>
      </c>
      <c r="H329" s="4"/>
      <c r="I329" s="3" t="s">
        <v>335</v>
      </c>
      <c r="J329" s="3" t="s">
        <v>28</v>
      </c>
      <c r="K329" s="3">
        <v>53</v>
      </c>
      <c r="L329" s="3">
        <v>1060</v>
      </c>
      <c r="M329" s="3" t="s">
        <v>32</v>
      </c>
      <c r="N329" s="4">
        <v>46259</v>
      </c>
      <c r="O329" s="4">
        <v>46259</v>
      </c>
      <c r="P329" s="3" t="s">
        <v>637</v>
      </c>
      <c r="Q329" s="3" t="s">
        <v>29</v>
      </c>
      <c r="R329" s="3" t="s">
        <v>26</v>
      </c>
      <c r="S329" s="3"/>
      <c r="T329" s="3"/>
      <c r="U329" s="3" t="s">
        <v>308</v>
      </c>
      <c r="V329" s="3">
        <v>709</v>
      </c>
      <c r="W329" s="3">
        <v>0</v>
      </c>
      <c r="X329" s="3" t="s">
        <v>637</v>
      </c>
      <c r="Y329" s="3" t="s">
        <v>637</v>
      </c>
      <c r="Z329" s="4">
        <v>46259</v>
      </c>
      <c r="AA329" s="3" t="s">
        <v>638</v>
      </c>
      <c r="AB329" s="3" t="s">
        <v>639</v>
      </c>
      <c r="AC329" s="3"/>
      <c r="AD329" s="9" t="s">
        <v>643</v>
      </c>
    </row>
    <row r="330" spans="1:30" hidden="1" x14ac:dyDescent="0.3">
      <c r="A330" s="8">
        <f t="shared" si="5"/>
        <v>328</v>
      </c>
      <c r="B330" s="3" t="s">
        <v>21</v>
      </c>
      <c r="C330" s="3" t="s">
        <v>571</v>
      </c>
      <c r="D330" s="3" t="s">
        <v>427</v>
      </c>
      <c r="E330" s="3">
        <v>543964</v>
      </c>
      <c r="F330" s="3">
        <v>1632</v>
      </c>
      <c r="G330" s="4">
        <v>46252</v>
      </c>
      <c r="H330" s="4"/>
      <c r="I330" s="3" t="s">
        <v>335</v>
      </c>
      <c r="J330" s="3" t="s">
        <v>28</v>
      </c>
      <c r="K330" s="3">
        <v>26</v>
      </c>
      <c r="L330" s="3">
        <v>520</v>
      </c>
      <c r="M330" s="3" t="s">
        <v>32</v>
      </c>
      <c r="N330" s="4">
        <v>46262</v>
      </c>
      <c r="O330" s="4">
        <v>46254</v>
      </c>
      <c r="P330" s="3" t="s">
        <v>219</v>
      </c>
      <c r="Q330" s="3" t="s">
        <v>29</v>
      </c>
      <c r="R330" s="3" t="s">
        <v>26</v>
      </c>
      <c r="S330" s="3"/>
      <c r="T330" s="3"/>
      <c r="U330" s="3" t="s">
        <v>308</v>
      </c>
      <c r="V330" s="3">
        <v>709</v>
      </c>
      <c r="W330" s="3">
        <v>0</v>
      </c>
      <c r="X330" s="3" t="s">
        <v>97</v>
      </c>
      <c r="Y330" s="3" t="s">
        <v>97</v>
      </c>
      <c r="Z330" s="4">
        <v>46253</v>
      </c>
      <c r="AA330" s="3" t="s">
        <v>363</v>
      </c>
      <c r="AB330" s="3" t="s">
        <v>472</v>
      </c>
      <c r="AC330" s="3" t="s">
        <v>631</v>
      </c>
      <c r="AD330" s="9" t="s">
        <v>633</v>
      </c>
    </row>
    <row r="331" spans="1:30" hidden="1" x14ac:dyDescent="0.3">
      <c r="A331" s="8">
        <f t="shared" si="5"/>
        <v>329</v>
      </c>
      <c r="B331" s="3" t="s">
        <v>21</v>
      </c>
      <c r="C331" s="3" t="s">
        <v>572</v>
      </c>
      <c r="D331" s="3" t="s">
        <v>573</v>
      </c>
      <c r="E331" s="3">
        <v>543966</v>
      </c>
      <c r="F331" s="3">
        <v>1633</v>
      </c>
      <c r="G331" s="4">
        <v>46252</v>
      </c>
      <c r="H331" s="4"/>
      <c r="I331" s="3" t="s">
        <v>335</v>
      </c>
      <c r="J331" s="3" t="s">
        <v>28</v>
      </c>
      <c r="K331" s="3">
        <v>26</v>
      </c>
      <c r="L331" s="3">
        <v>520</v>
      </c>
      <c r="M331" s="3" t="s">
        <v>32</v>
      </c>
      <c r="N331" s="4">
        <v>46262</v>
      </c>
      <c r="O331" s="4">
        <v>46255</v>
      </c>
      <c r="P331" s="3" t="s">
        <v>219</v>
      </c>
      <c r="Q331" s="3" t="s">
        <v>29</v>
      </c>
      <c r="R331" s="3" t="s">
        <v>26</v>
      </c>
      <c r="S331" s="3"/>
      <c r="T331" s="3"/>
      <c r="U331" s="3" t="s">
        <v>308</v>
      </c>
      <c r="V331" s="3">
        <v>709</v>
      </c>
      <c r="W331" s="3">
        <v>0</v>
      </c>
      <c r="X331" s="3" t="s">
        <v>97</v>
      </c>
      <c r="Y331" s="3" t="s">
        <v>97</v>
      </c>
      <c r="Z331" s="4">
        <v>46253</v>
      </c>
      <c r="AA331" s="3" t="s">
        <v>363</v>
      </c>
      <c r="AB331" s="3" t="s">
        <v>472</v>
      </c>
      <c r="AC331" s="3" t="s">
        <v>631</v>
      </c>
      <c r="AD331" s="9" t="s">
        <v>633</v>
      </c>
    </row>
    <row r="332" spans="1:30" hidden="1" x14ac:dyDescent="0.3">
      <c r="A332" s="8">
        <f t="shared" si="5"/>
        <v>330</v>
      </c>
      <c r="B332" s="3" t="s">
        <v>21</v>
      </c>
      <c r="C332" s="3" t="s">
        <v>574</v>
      </c>
      <c r="D332" s="3" t="s">
        <v>518</v>
      </c>
      <c r="E332" s="3">
        <v>22837</v>
      </c>
      <c r="F332" s="3">
        <v>1634</v>
      </c>
      <c r="G332" s="4">
        <v>46252</v>
      </c>
      <c r="H332" s="4"/>
      <c r="I332" s="3" t="s">
        <v>31</v>
      </c>
      <c r="J332" s="3" t="s">
        <v>28</v>
      </c>
      <c r="K332" s="3">
        <v>21</v>
      </c>
      <c r="L332" s="3">
        <v>420</v>
      </c>
      <c r="M332" s="3" t="s">
        <v>32</v>
      </c>
      <c r="N332" s="4">
        <v>46258</v>
      </c>
      <c r="O332" s="3"/>
      <c r="P332" s="3" t="s">
        <v>582</v>
      </c>
      <c r="Q332" s="3" t="s">
        <v>29</v>
      </c>
      <c r="R332" s="3" t="s">
        <v>26</v>
      </c>
      <c r="S332" s="3"/>
      <c r="T332" s="3"/>
      <c r="U332" s="3" t="s">
        <v>308</v>
      </c>
      <c r="V332" s="3">
        <v>709</v>
      </c>
      <c r="W332" s="3">
        <v>0</v>
      </c>
      <c r="X332" s="3" t="s">
        <v>582</v>
      </c>
      <c r="Y332" s="3" t="s">
        <v>582</v>
      </c>
      <c r="Z332" s="4">
        <v>46254</v>
      </c>
      <c r="AA332" s="3" t="s">
        <v>610</v>
      </c>
      <c r="AB332" s="3" t="s">
        <v>469</v>
      </c>
      <c r="AC332" s="3"/>
      <c r="AD332" s="9" t="s">
        <v>647</v>
      </c>
    </row>
    <row r="333" spans="1:30" hidden="1" x14ac:dyDescent="0.3">
      <c r="A333" s="8">
        <f t="shared" si="5"/>
        <v>331</v>
      </c>
      <c r="B333" s="3" t="s">
        <v>21</v>
      </c>
      <c r="C333" s="3" t="s">
        <v>324</v>
      </c>
      <c r="D333" s="3" t="s">
        <v>575</v>
      </c>
      <c r="E333" s="3">
        <v>22838</v>
      </c>
      <c r="F333" s="3">
        <v>1635</v>
      </c>
      <c r="G333" s="4">
        <v>46252</v>
      </c>
      <c r="H333" s="4"/>
      <c r="I333" s="3" t="s">
        <v>24</v>
      </c>
      <c r="J333" s="3" t="s">
        <v>28</v>
      </c>
      <c r="K333" s="3">
        <v>4</v>
      </c>
      <c r="L333" s="3">
        <v>48</v>
      </c>
      <c r="M333" s="3" t="s">
        <v>32</v>
      </c>
      <c r="N333" s="4">
        <v>46258</v>
      </c>
      <c r="O333" s="3"/>
      <c r="P333" s="3" t="s">
        <v>582</v>
      </c>
      <c r="Q333" s="3" t="s">
        <v>29</v>
      </c>
      <c r="R333" s="3" t="s">
        <v>26</v>
      </c>
      <c r="S333" s="3"/>
      <c r="T333" s="3"/>
      <c r="U333" s="3" t="s">
        <v>308</v>
      </c>
      <c r="V333" s="3">
        <v>709</v>
      </c>
      <c r="W333" s="3">
        <v>0</v>
      </c>
      <c r="X333" s="3" t="s">
        <v>582</v>
      </c>
      <c r="Y333" s="3" t="s">
        <v>582</v>
      </c>
      <c r="Z333" s="4">
        <v>46254</v>
      </c>
      <c r="AA333" s="3" t="s">
        <v>610</v>
      </c>
      <c r="AB333" s="3" t="s">
        <v>469</v>
      </c>
      <c r="AC333" s="3"/>
      <c r="AD333" s="9" t="s">
        <v>644</v>
      </c>
    </row>
    <row r="334" spans="1:30" hidden="1" x14ac:dyDescent="0.3">
      <c r="A334" s="8">
        <f t="shared" si="5"/>
        <v>332</v>
      </c>
      <c r="B334" s="3" t="s">
        <v>21</v>
      </c>
      <c r="C334" s="3" t="s">
        <v>576</v>
      </c>
      <c r="D334" s="3" t="s">
        <v>577</v>
      </c>
      <c r="E334" s="3">
        <v>22839</v>
      </c>
      <c r="F334" s="3">
        <v>1636</v>
      </c>
      <c r="G334" s="4">
        <v>46252</v>
      </c>
      <c r="H334" s="4"/>
      <c r="I334" s="3" t="s">
        <v>462</v>
      </c>
      <c r="J334" s="3" t="s">
        <v>28</v>
      </c>
      <c r="K334" s="3">
        <v>10</v>
      </c>
      <c r="L334" s="3">
        <v>100</v>
      </c>
      <c r="M334" s="3" t="s">
        <v>32</v>
      </c>
      <c r="N334" s="4">
        <v>46259</v>
      </c>
      <c r="O334" s="4">
        <v>46259</v>
      </c>
      <c r="P334" s="3" t="s">
        <v>637</v>
      </c>
      <c r="Q334" s="3" t="s">
        <v>29</v>
      </c>
      <c r="R334" s="3" t="s">
        <v>26</v>
      </c>
      <c r="S334" s="3"/>
      <c r="T334" s="3"/>
      <c r="U334" s="3" t="s">
        <v>308</v>
      </c>
      <c r="V334" s="3">
        <v>709</v>
      </c>
      <c r="W334" s="3">
        <v>0</v>
      </c>
      <c r="X334" s="3" t="s">
        <v>637</v>
      </c>
      <c r="Y334" s="3" t="s">
        <v>637</v>
      </c>
      <c r="Z334" s="4">
        <v>46259</v>
      </c>
      <c r="AA334" s="3" t="s">
        <v>638</v>
      </c>
      <c r="AB334" s="3" t="s">
        <v>639</v>
      </c>
      <c r="AC334" s="3"/>
      <c r="AD334" s="9" t="s">
        <v>643</v>
      </c>
    </row>
    <row r="335" spans="1:30" hidden="1" x14ac:dyDescent="0.3">
      <c r="A335" s="8">
        <f t="shared" si="5"/>
        <v>333</v>
      </c>
      <c r="B335" s="3" t="s">
        <v>21</v>
      </c>
      <c r="C335" s="3" t="s">
        <v>576</v>
      </c>
      <c r="D335" s="3" t="s">
        <v>577</v>
      </c>
      <c r="E335" s="3">
        <v>22840</v>
      </c>
      <c r="F335" s="3">
        <v>1637</v>
      </c>
      <c r="G335" s="4">
        <v>46252</v>
      </c>
      <c r="H335" s="4"/>
      <c r="I335" s="3" t="s">
        <v>31</v>
      </c>
      <c r="J335" s="3" t="s">
        <v>28</v>
      </c>
      <c r="K335" s="3">
        <v>9</v>
      </c>
      <c r="L335" s="3">
        <v>180</v>
      </c>
      <c r="M335" s="3" t="s">
        <v>32</v>
      </c>
      <c r="N335" s="3"/>
      <c r="O335" s="3"/>
      <c r="P335" s="3" t="s">
        <v>25</v>
      </c>
      <c r="Q335" s="3" t="s">
        <v>29</v>
      </c>
      <c r="R335" s="3" t="s">
        <v>26</v>
      </c>
      <c r="S335" s="3"/>
      <c r="T335" s="3"/>
      <c r="U335" s="3" t="s">
        <v>308</v>
      </c>
      <c r="V335" s="3">
        <v>709</v>
      </c>
      <c r="W335" s="3">
        <v>0</v>
      </c>
      <c r="X335" s="3" t="s">
        <v>25</v>
      </c>
      <c r="Y335" s="3" t="s">
        <v>25</v>
      </c>
      <c r="Z335" s="3"/>
      <c r="AA335" s="3"/>
      <c r="AB335" s="3"/>
      <c r="AC335" s="3"/>
      <c r="AD335" s="9" t="s">
        <v>652</v>
      </c>
    </row>
    <row r="336" spans="1:30" hidden="1" x14ac:dyDescent="0.3">
      <c r="A336" s="8">
        <f t="shared" si="5"/>
        <v>334</v>
      </c>
      <c r="B336" s="3" t="s">
        <v>21</v>
      </c>
      <c r="C336" s="3" t="s">
        <v>578</v>
      </c>
      <c r="D336" s="3" t="s">
        <v>579</v>
      </c>
      <c r="E336" s="3">
        <v>543965</v>
      </c>
      <c r="F336" s="3">
        <v>1638</v>
      </c>
      <c r="G336" s="4">
        <v>46252</v>
      </c>
      <c r="H336" s="4"/>
      <c r="I336" s="3" t="s">
        <v>335</v>
      </c>
      <c r="J336" s="3" t="s">
        <v>28</v>
      </c>
      <c r="K336" s="3">
        <v>18</v>
      </c>
      <c r="L336" s="3">
        <v>360</v>
      </c>
      <c r="M336" s="3" t="s">
        <v>32</v>
      </c>
      <c r="N336" s="4">
        <v>46260</v>
      </c>
      <c r="O336" s="4">
        <v>46263</v>
      </c>
      <c r="P336" s="3" t="s">
        <v>219</v>
      </c>
      <c r="Q336" s="3" t="s">
        <v>29</v>
      </c>
      <c r="R336" s="3" t="s">
        <v>26</v>
      </c>
      <c r="S336" s="3"/>
      <c r="T336" s="3"/>
      <c r="U336" s="3" t="s">
        <v>308</v>
      </c>
      <c r="V336" s="3">
        <v>709</v>
      </c>
      <c r="W336" s="3">
        <v>0</v>
      </c>
      <c r="X336" s="3" t="s">
        <v>97</v>
      </c>
      <c r="Y336" s="3" t="s">
        <v>97</v>
      </c>
      <c r="Z336" s="4">
        <v>46255</v>
      </c>
      <c r="AA336" s="3" t="s">
        <v>599</v>
      </c>
      <c r="AB336" s="3"/>
      <c r="AC336" s="3"/>
      <c r="AD336" s="9" t="s">
        <v>633</v>
      </c>
    </row>
    <row r="337" spans="1:30" hidden="1" x14ac:dyDescent="0.3">
      <c r="A337" s="8">
        <f t="shared" si="5"/>
        <v>335</v>
      </c>
      <c r="B337" s="3" t="s">
        <v>21</v>
      </c>
      <c r="C337" s="3" t="s">
        <v>578</v>
      </c>
      <c r="D337" s="3" t="s">
        <v>579</v>
      </c>
      <c r="E337" s="3">
        <v>543965</v>
      </c>
      <c r="F337" s="3">
        <v>1638</v>
      </c>
      <c r="G337" s="4">
        <v>46252</v>
      </c>
      <c r="H337" s="4"/>
      <c r="I337" s="3" t="s">
        <v>587</v>
      </c>
      <c r="J337" s="3" t="s">
        <v>28</v>
      </c>
      <c r="K337" s="3">
        <v>1</v>
      </c>
      <c r="L337" s="3">
        <v>20</v>
      </c>
      <c r="M337" s="3" t="s">
        <v>32</v>
      </c>
      <c r="N337" s="4">
        <v>46260</v>
      </c>
      <c r="O337" s="4">
        <v>46263</v>
      </c>
      <c r="P337" s="3" t="s">
        <v>219</v>
      </c>
      <c r="Q337" s="3" t="s">
        <v>29</v>
      </c>
      <c r="R337" s="3" t="s">
        <v>26</v>
      </c>
      <c r="S337" s="3"/>
      <c r="T337" s="3"/>
      <c r="U337" s="3" t="s">
        <v>308</v>
      </c>
      <c r="V337" s="3">
        <v>709</v>
      </c>
      <c r="W337" s="3">
        <v>0</v>
      </c>
      <c r="X337" s="3" t="s">
        <v>97</v>
      </c>
      <c r="Y337" s="3" t="s">
        <v>97</v>
      </c>
      <c r="Z337" s="4">
        <v>46255</v>
      </c>
      <c r="AA337" s="3" t="s">
        <v>599</v>
      </c>
      <c r="AB337" s="3"/>
      <c r="AC337" s="3"/>
      <c r="AD337" s="9" t="s">
        <v>633</v>
      </c>
    </row>
    <row r="338" spans="1:30" hidden="1" x14ac:dyDescent="0.3">
      <c r="A338" s="8">
        <f t="shared" si="5"/>
        <v>336</v>
      </c>
      <c r="B338" s="3" t="s">
        <v>21</v>
      </c>
      <c r="C338" s="3" t="s">
        <v>116</v>
      </c>
      <c r="D338" s="3" t="s">
        <v>580</v>
      </c>
      <c r="E338" s="3">
        <v>22838</v>
      </c>
      <c r="F338" s="3">
        <v>1639</v>
      </c>
      <c r="G338" s="4">
        <v>46252</v>
      </c>
      <c r="H338" s="4"/>
      <c r="I338" s="3" t="s">
        <v>581</v>
      </c>
      <c r="J338" s="3" t="s">
        <v>28</v>
      </c>
      <c r="K338" s="3">
        <v>20</v>
      </c>
      <c r="L338" s="3">
        <v>200</v>
      </c>
      <c r="M338" s="3" t="s">
        <v>32</v>
      </c>
      <c r="N338" s="4">
        <v>46259</v>
      </c>
      <c r="O338" s="4">
        <v>46259</v>
      </c>
      <c r="P338" s="3" t="s">
        <v>637</v>
      </c>
      <c r="Q338" s="3" t="s">
        <v>29</v>
      </c>
      <c r="R338" s="3" t="s">
        <v>26</v>
      </c>
      <c r="S338" s="3"/>
      <c r="T338" s="3"/>
      <c r="U338" s="3" t="s">
        <v>308</v>
      </c>
      <c r="V338" s="3">
        <v>709</v>
      </c>
      <c r="W338" s="3">
        <v>0</v>
      </c>
      <c r="X338" s="3" t="s">
        <v>637</v>
      </c>
      <c r="Y338" s="3" t="s">
        <v>637</v>
      </c>
      <c r="Z338" s="4">
        <v>46259</v>
      </c>
      <c r="AA338" s="3" t="s">
        <v>638</v>
      </c>
      <c r="AB338" s="3" t="s">
        <v>639</v>
      </c>
      <c r="AC338" s="3"/>
      <c r="AD338" s="9" t="s">
        <v>643</v>
      </c>
    </row>
    <row r="339" spans="1:30" hidden="1" x14ac:dyDescent="0.3">
      <c r="A339" s="8">
        <f t="shared" si="5"/>
        <v>337</v>
      </c>
      <c r="B339" s="3" t="s">
        <v>21</v>
      </c>
      <c r="C339" s="3" t="s">
        <v>550</v>
      </c>
      <c r="D339" s="3" t="s">
        <v>387</v>
      </c>
      <c r="E339" s="3" t="s">
        <v>588</v>
      </c>
      <c r="F339" s="3">
        <v>1629</v>
      </c>
      <c r="G339" s="4">
        <v>46252</v>
      </c>
      <c r="H339" s="4"/>
      <c r="I339" s="3" t="s">
        <v>590</v>
      </c>
      <c r="J339" s="3" t="s">
        <v>28</v>
      </c>
      <c r="K339" s="3">
        <v>30</v>
      </c>
      <c r="L339" s="3">
        <v>6300</v>
      </c>
      <c r="M339" s="3" t="s">
        <v>96</v>
      </c>
      <c r="N339" s="4">
        <v>46253</v>
      </c>
      <c r="O339" s="4">
        <v>46252</v>
      </c>
      <c r="P339" s="3" t="s">
        <v>219</v>
      </c>
      <c r="Q339" s="3" t="s">
        <v>29</v>
      </c>
      <c r="R339" s="3" t="s">
        <v>26</v>
      </c>
      <c r="S339" s="3"/>
      <c r="T339" s="3"/>
      <c r="U339" s="3" t="s">
        <v>589</v>
      </c>
      <c r="V339" s="3">
        <v>709</v>
      </c>
      <c r="W339" s="3">
        <v>0</v>
      </c>
      <c r="X339" s="3" t="s">
        <v>97</v>
      </c>
      <c r="Y339" s="3" t="s">
        <v>97</v>
      </c>
      <c r="Z339" s="4">
        <v>46253</v>
      </c>
      <c r="AA339" s="3" t="s">
        <v>589</v>
      </c>
      <c r="AB339" s="3" t="s">
        <v>471</v>
      </c>
      <c r="AC339" s="3" t="s">
        <v>625</v>
      </c>
      <c r="AD339" s="9" t="s">
        <v>633</v>
      </c>
    </row>
    <row r="340" spans="1:30" x14ac:dyDescent="0.3">
      <c r="A340" s="8">
        <f t="shared" si="5"/>
        <v>338</v>
      </c>
      <c r="B340" s="3" t="s">
        <v>21</v>
      </c>
      <c r="C340" s="3" t="s">
        <v>176</v>
      </c>
      <c r="D340" s="3" t="s">
        <v>452</v>
      </c>
      <c r="E340" s="3">
        <v>716287005</v>
      </c>
      <c r="F340" s="3">
        <v>1599</v>
      </c>
      <c r="G340" s="4">
        <v>46247</v>
      </c>
      <c r="H340" s="4"/>
      <c r="I340" s="3" t="s">
        <v>568</v>
      </c>
      <c r="J340" s="3" t="s">
        <v>28</v>
      </c>
      <c r="K340" s="3">
        <v>100</v>
      </c>
      <c r="L340" s="3">
        <v>2000</v>
      </c>
      <c r="M340" s="3" t="s">
        <v>32</v>
      </c>
      <c r="N340" s="4">
        <v>46256</v>
      </c>
      <c r="O340" s="3"/>
      <c r="P340" s="3" t="s">
        <v>414</v>
      </c>
      <c r="Q340" s="3" t="s">
        <v>29</v>
      </c>
      <c r="R340" s="3" t="s">
        <v>26</v>
      </c>
      <c r="S340" s="3"/>
      <c r="T340" s="3"/>
      <c r="U340" s="3" t="s">
        <v>308</v>
      </c>
      <c r="V340" s="3">
        <v>709</v>
      </c>
      <c r="W340" s="3">
        <v>0</v>
      </c>
      <c r="X340" s="3" t="s">
        <v>97</v>
      </c>
      <c r="Y340" s="3" t="s">
        <v>97</v>
      </c>
      <c r="Z340" s="4">
        <v>46254</v>
      </c>
      <c r="AA340" s="3" t="s">
        <v>591</v>
      </c>
      <c r="AB340" s="3" t="s">
        <v>592</v>
      </c>
      <c r="AC340" s="3" t="s">
        <v>620</v>
      </c>
      <c r="AD340" s="9" t="s">
        <v>633</v>
      </c>
    </row>
    <row r="341" spans="1:30" x14ac:dyDescent="0.3">
      <c r="A341" s="8">
        <f t="shared" si="5"/>
        <v>339</v>
      </c>
      <c r="B341" s="3" t="s">
        <v>21</v>
      </c>
      <c r="C341" s="3" t="s">
        <v>595</v>
      </c>
      <c r="D341" s="3" t="s">
        <v>577</v>
      </c>
      <c r="E341" s="3">
        <v>716207126</v>
      </c>
      <c r="F341" s="3">
        <v>1573</v>
      </c>
      <c r="G341" s="4">
        <v>46245</v>
      </c>
      <c r="H341" s="4"/>
      <c r="I341" s="3" t="s">
        <v>596</v>
      </c>
      <c r="J341" s="3" t="s">
        <v>28</v>
      </c>
      <c r="K341" s="3">
        <v>4</v>
      </c>
      <c r="L341" s="3">
        <v>20</v>
      </c>
      <c r="M341" s="3" t="s">
        <v>32</v>
      </c>
      <c r="N341" s="4">
        <v>46262</v>
      </c>
      <c r="O341" s="4">
        <v>46256</v>
      </c>
      <c r="P341" s="3" t="s">
        <v>219</v>
      </c>
      <c r="Q341" s="3" t="s">
        <v>29</v>
      </c>
      <c r="R341" s="3" t="s">
        <v>26</v>
      </c>
      <c r="S341" s="3"/>
      <c r="T341" s="3"/>
      <c r="U341" s="3" t="s">
        <v>597</v>
      </c>
      <c r="V341" s="3">
        <v>709</v>
      </c>
      <c r="W341" s="3">
        <v>0</v>
      </c>
      <c r="X341" s="3" t="s">
        <v>97</v>
      </c>
      <c r="Y341" s="3" t="s">
        <v>97</v>
      </c>
      <c r="Z341" s="4">
        <v>46253</v>
      </c>
      <c r="AA341" s="3" t="s">
        <v>597</v>
      </c>
      <c r="AB341" s="3" t="s">
        <v>609</v>
      </c>
      <c r="AC341" s="3" t="s">
        <v>627</v>
      </c>
      <c r="AD341" s="9" t="s">
        <v>633</v>
      </c>
    </row>
    <row r="342" spans="1:30" hidden="1" x14ac:dyDescent="0.3">
      <c r="A342" s="13">
        <f t="shared" si="5"/>
        <v>340</v>
      </c>
      <c r="B342" s="14" t="s">
        <v>21</v>
      </c>
      <c r="C342" s="14" t="s">
        <v>640</v>
      </c>
      <c r="D342" s="14" t="s">
        <v>506</v>
      </c>
      <c r="E342" s="14" t="s">
        <v>641</v>
      </c>
      <c r="F342" s="14">
        <v>1641</v>
      </c>
      <c r="G342" s="15">
        <v>46254</v>
      </c>
      <c r="H342" s="14"/>
      <c r="I342" s="14" t="s">
        <v>642</v>
      </c>
      <c r="J342" s="14" t="s">
        <v>28</v>
      </c>
      <c r="K342" s="14">
        <f>L342/20</f>
        <v>5</v>
      </c>
      <c r="L342" s="14">
        <v>100</v>
      </c>
      <c r="M342" s="14" t="s">
        <v>32</v>
      </c>
      <c r="N342" s="15">
        <v>46259</v>
      </c>
      <c r="O342" s="15">
        <v>46259</v>
      </c>
      <c r="P342" s="14" t="s">
        <v>637</v>
      </c>
      <c r="Q342" s="14" t="s">
        <v>29</v>
      </c>
      <c r="R342" s="14" t="s">
        <v>26</v>
      </c>
      <c r="S342" s="14"/>
      <c r="T342" s="14"/>
      <c r="U342" s="14" t="s">
        <v>308</v>
      </c>
      <c r="V342" s="14">
        <v>709</v>
      </c>
      <c r="W342" s="14">
        <v>0</v>
      </c>
      <c r="X342" s="14" t="s">
        <v>637</v>
      </c>
      <c r="Y342" s="14" t="s">
        <v>637</v>
      </c>
      <c r="Z342" s="15">
        <v>46259</v>
      </c>
      <c r="AA342" s="14" t="s">
        <v>638</v>
      </c>
      <c r="AB342" s="14" t="s">
        <v>639</v>
      </c>
      <c r="AC342" s="14"/>
      <c r="AD342" s="16" t="s">
        <v>643</v>
      </c>
    </row>
    <row r="344" spans="1:30" x14ac:dyDescent="0.3">
      <c r="B344" s="7"/>
    </row>
    <row r="349" spans="1:30" x14ac:dyDescent="0.3">
      <c r="AA349" s="9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Anmol Madhav</cp:lastModifiedBy>
  <cp:lastPrinted>2026-08-17T07:03:37Z</cp:lastPrinted>
  <dcterms:created xsi:type="dcterms:W3CDTF">2026-07-24T05:55:52Z</dcterms:created>
  <dcterms:modified xsi:type="dcterms:W3CDTF">2026-09-07T06:55:18Z</dcterms:modified>
</cp:coreProperties>
</file>